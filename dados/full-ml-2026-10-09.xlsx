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ull por SKU" sheetId="2" state="visible" r:id="rId2"/>
  </sheets>
  <definedNames>
    <definedName name="_xlnm._FilterDatabase" localSheetId="1" hidden="1">'Full por SKU'!$A$1:$Q$32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-R$ #,##0.00;&quot;—&quot;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0000FF"/>
      <sz val="10"/>
    </font>
    <font>
      <name val="Arial"/>
      <b val="1"/>
      <sz val="10"/>
    </font>
    <font>
      <name val="Arial"/>
      <b val="1"/>
      <color rgb="FF0C5B6A"/>
      <sz val="15"/>
    </font>
    <font>
      <name val="Arial"/>
      <i val="1"/>
      <color rgb="FF5D7078"/>
      <sz val="10"/>
    </font>
    <font>
      <name val="Arial"/>
      <color rgb="FF5D7078"/>
      <sz val="9"/>
    </font>
    <font>
      <name val="Arial"/>
      <b val="1"/>
      <color rgb="FF5D7078"/>
      <sz val="9"/>
    </font>
    <font>
      <name val="Arial"/>
      <b val="1"/>
      <color rgb="FF0C5B6A"/>
      <sz val="12"/>
    </font>
  </fonts>
  <fills count="5">
    <fill>
      <patternFill/>
    </fill>
    <fill>
      <patternFill patternType="gray125"/>
    </fill>
    <fill>
      <patternFill patternType="solid">
        <fgColor rgb="FF0C5B6A"/>
      </patternFill>
    </fill>
    <fill>
      <patternFill patternType="solid">
        <fgColor rgb="FFFFF3C4"/>
      </patternFill>
    </fill>
    <fill>
      <patternFill patternType="solid">
        <fgColor rgb="FFF2F5F6"/>
      </patternFill>
    </fill>
  </fills>
  <borders count="3">
    <border>
      <left/>
      <right/>
      <top/>
      <bottom/>
      <diagonal/>
    </border>
    <border>
      <bottom style="thin">
        <color rgb="FFD6E0E4"/>
      </bottom>
    </border>
    <border>
      <top style="medium">
        <color rgb="FF0C5B6A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7" fillId="0" borderId="1" applyAlignment="1" pivotButton="0" quotePrefix="0" xfId="0">
      <alignment vertical="top" wrapText="1"/>
    </xf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3" fontId="3" fillId="0" borderId="1" pivotButton="0" quotePrefix="0" xfId="0"/>
    <xf numFmtId="164" fontId="3" fillId="0" borderId="1" pivotButton="0" quotePrefix="0" xfId="0"/>
    <xf numFmtId="0" fontId="2" fillId="0" borderId="0" applyAlignment="1" pivotButton="0" quotePrefix="0" xfId="0">
      <alignment vertical="top" wrapText="1"/>
    </xf>
    <xf numFmtId="164" fontId="3" fillId="3" borderId="1" pivotButton="0" quotePrefix="0" xfId="0"/>
    <xf numFmtId="0" fontId="4" fillId="4" borderId="2" pivotButton="0" quotePrefix="0" xfId="0"/>
    <xf numFmtId="3" fontId="4" fillId="4" borderId="2" pivotButton="0" quotePrefix="0" xfId="0"/>
    <xf numFmtId="164" fontId="4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Estoque Vivo</author>
  </authors>
  <commentList>
    <comment ref="B16" authorId="0" shapeId="0">
      <text>
        <t>Número copiado do app Estoque Vivo (não é fórmula).</t>
      </text>
    </comment>
    <comment ref="C16" authorId="0" shapeId="0">
      <text>
        <t>Número copiado do app Estoque Vivo (não é fórmula).</t>
      </text>
    </comment>
    <comment ref="D16" authorId="0" shapeId="0">
      <text>
        <t>Número copiado do app Estoque Vivo (não é fórmula).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20" customWidth="1" min="4" max="4"/>
    <col width="18" customWidth="1" min="5" max="5"/>
    <col width="60" customWidth="1" min="6" max="6"/>
  </cols>
  <sheetData>
    <row r="1">
      <c r="A1" s="1" t="inlineStr">
        <is>
          <t>Mercado Livre Full — posição de 09/10/2026</t>
        </is>
      </c>
    </row>
    <row r="2">
      <c r="A2" s="2" t="inlineStr">
        <is>
          <t>Fonte: print do relatório de estoque Full do Mercado Livre + custo e preço de venda líquido do seu catálogo (app Estoque Vivo).</t>
        </is>
      </c>
    </row>
    <row r="4" ht="30" customHeight="1">
      <c r="A4" s="3" t="inlineStr">
        <is>
          <t>Situação no Mercado Livre</t>
        </is>
      </c>
      <c r="B4" s="3" t="inlineStr">
        <is>
          <t>Unidades</t>
        </is>
      </c>
      <c r="C4" s="3" t="inlineStr">
        <is>
          <t>Custo (R$)</t>
        </is>
      </c>
      <c r="D4" s="3" t="inlineStr">
        <is>
          <t>Receita projetada (R$)</t>
        </is>
      </c>
      <c r="E4" s="3" t="inlineStr">
        <is>
          <t>Margem projetada (R$)</t>
        </is>
      </c>
      <c r="F4" s="3" t="inlineStr">
        <is>
          <t>O que significa</t>
        </is>
      </c>
    </row>
    <row r="5">
      <c r="A5" s="4" t="inlineStr">
        <is>
          <t>Aptas para venda</t>
        </is>
      </c>
      <c r="B5" s="5">
        <f>SUM('Full por SKU'!D2:D32)</f>
        <v>1902</v>
      </c>
      <c r="C5" s="6">
        <f>SUMPRODUCT('Full por SKU'!D2:D32,'Full por SKU'!L2:L32)</f>
        <v>37461.0</v>
      </c>
      <c r="D5" s="6">
        <f>SUMPRODUCT('Full por SKU'!D2:D32,'Full por SKU'!M2:M32)</f>
        <v>59538.78</v>
      </c>
      <c r="E5" s="6">
        <f>D5-C5</f>
        <v>22077.78</v>
      </c>
      <c r="F5" s="7" t="inlineStr">
        <is>
          <t>Já estão no Full e à venda.</t>
        </is>
      </c>
    </row>
    <row r="6">
      <c r="A6" s="4" t="inlineStr">
        <is>
          <t>Temporariamente não aptas</t>
        </is>
      </c>
      <c r="B6" s="5">
        <f>SUM('Full por SKU'!E2:E32)</f>
        <v>24</v>
      </c>
      <c r="C6" s="6">
        <f>SUMPRODUCT('Full por SKU'!E2:E32,'Full por SKU'!L2:L32)</f>
        <v>1106.0</v>
      </c>
      <c r="D6" s="6">
        <f>SUMPRODUCT('Full por SKU'!E2:E32,'Full por SKU'!M2:M32)</f>
        <v>1547.46</v>
      </c>
      <c r="E6" s="6">
        <f>D6-C6</f>
        <v>441.46</v>
      </c>
      <c r="F6" s="7" t="inlineStr">
        <is>
          <t>Extraviadas, em revisão ou de vendas canceladas.</t>
        </is>
      </c>
    </row>
    <row r="7">
      <c r="A7" s="8" t="inlineStr">
        <is>
          <t>TOTAL NO FULL</t>
        </is>
      </c>
      <c r="B7" s="9">
        <f>B5+B6</f>
        <v>1926</v>
      </c>
      <c r="C7" s="10">
        <f>C5+C6</f>
        <v>38567.0</v>
      </c>
      <c r="D7" s="10">
        <f>D5+D6</f>
        <v>61086.24</v>
      </c>
      <c r="E7" s="10">
        <f>E5+E6</f>
        <v>22519.24</v>
      </c>
      <c r="F7" s="11" t="inlineStr">
        <is>
          <t>Dentro dos galpões do ML.</t>
        </is>
      </c>
    </row>
    <row r="8">
      <c r="A8" s="4" t="inlineStr">
        <is>
          <t>Entrada pendente (em contagem)</t>
        </is>
      </c>
      <c r="B8" s="5">
        <f>SUM('Full por SKU'!G2:G32)</f>
        <v>394</v>
      </c>
      <c r="C8" s="6">
        <f>SUMPRODUCT('Full por SKU'!G2:G32,'Full por SKU'!L2:L32)</f>
        <v>27336.0</v>
      </c>
      <c r="D8" s="6">
        <f>SUMPRODUCT('Full por SKU'!G2:G32,'Full por SKU'!M2:M32)</f>
        <v>42100.69</v>
      </c>
      <c r="E8" s="6">
        <f>D8-C8</f>
        <v>14764.69</v>
      </c>
      <c r="F8" s="7" t="inlineStr">
        <is>
          <t>Já chegaram ao Full e o ML ainda está conferindo.</t>
        </is>
      </c>
    </row>
    <row r="9">
      <c r="A9" s="4" t="inlineStr">
        <is>
          <t>Em transferência (a caminho)</t>
        </is>
      </c>
      <c r="B9" s="5">
        <f>SUM('Full por SKU'!H2:H32)</f>
        <v>499</v>
      </c>
      <c r="C9" s="6">
        <f>SUMPRODUCT('Full por SKU'!H2:H32,'Full por SKU'!L2:L32)</f>
        <v>18884.0</v>
      </c>
      <c r="D9" s="6">
        <f>SUMPRODUCT('Full por SKU'!H2:H32,'Full por SKU'!M2:M32)</f>
        <v>28324.59</v>
      </c>
      <c r="E9" s="6">
        <f>D9-C9</f>
        <v>9440.59</v>
      </c>
      <c r="F9" s="7" t="inlineStr">
        <is>
          <t>Envios que saíram do seu galpão e ainda não chegaram ao Full.</t>
        </is>
      </c>
    </row>
    <row r="10">
      <c r="A10" s="4" t="inlineStr">
        <is>
          <t>Devolvidas pelo comprador</t>
        </is>
      </c>
      <c r="B10" s="5">
        <f>SUM('Full por SKU'!I2:I32)</f>
        <v>42</v>
      </c>
      <c r="C10" s="6">
        <f>SUMPRODUCT('Full por SKU'!I2:I32,'Full por SKU'!L2:L32)</f>
        <v>1222.5</v>
      </c>
      <c r="D10" s="6">
        <f>SUMPRODUCT('Full por SKU'!I2:I32,'Full por SKU'!M2:M32)</f>
        <v>1725.34</v>
      </c>
      <c r="E10" s="6">
        <f>D10-C10</f>
        <v>502.84</v>
      </c>
      <c r="F10" s="7" t="inlineStr">
        <is>
          <t>Devoluções voltando ao Full. Podem voltar avariadas: o valor é o máximo.</t>
        </is>
      </c>
    </row>
    <row r="11">
      <c r="A11" s="8" t="inlineStr">
        <is>
          <t>TOTAL PENDENTE / A CAMINHO</t>
        </is>
      </c>
      <c r="B11" s="9">
        <f>B8+B9+B10</f>
        <v>935</v>
      </c>
      <c r="C11" s="10">
        <f>C8+C9+C10</f>
        <v>47442.5</v>
      </c>
      <c r="D11" s="10">
        <f>D8+D9+D10</f>
        <v>72150.62</v>
      </c>
      <c r="E11" s="10">
        <f>E8+E9+E10</f>
        <v>24708.12</v>
      </c>
      <c r="F11" s="11" t="inlineStr">
        <is>
          <t>Ainda não estão à venda.</t>
        </is>
      </c>
    </row>
    <row r="12">
      <c r="A12" s="8" t="inlineStr">
        <is>
          <t>TOTAL QUE OCUPA ESPAÇO NO FULL</t>
        </is>
      </c>
      <c r="B12" s="9">
        <f>B7+B11</f>
        <v>2861</v>
      </c>
      <c r="C12" s="10">
        <f>C7+C11</f>
        <v>86009.5</v>
      </c>
      <c r="D12" s="10">
        <f>D7+D11</f>
        <v>133236.86</v>
      </c>
      <c r="E12" s="10">
        <f>E7+E11</f>
        <v>47227.36</v>
      </c>
      <c r="F12" s="11" t="inlineStr">
        <is>
          <t>É o número que o ML mostra na coluna de espaço ocupado.</t>
        </is>
      </c>
    </row>
    <row r="14">
      <c r="A14" s="12" t="inlineStr">
        <is>
          <t>Visão da empresa</t>
        </is>
      </c>
    </row>
    <row r="15" ht="30" customHeight="1">
      <c r="A15" s="3" t="inlineStr">
        <is>
          <t>Onde está</t>
        </is>
      </c>
      <c r="B15" s="3" t="inlineStr">
        <is>
          <t>Unidades</t>
        </is>
      </c>
      <c r="C15" s="3" t="inlineStr">
        <is>
          <t>Custo (R$)</t>
        </is>
      </c>
      <c r="D15" s="3" t="inlineStr">
        <is>
          <t>Receita projetada (R$)</t>
        </is>
      </c>
      <c r="E15" s="3" t="inlineStr">
        <is>
          <t>Margem projetada (R$)</t>
        </is>
      </c>
      <c r="F15" s="3" t="inlineStr">
        <is>
          <t>Observação</t>
        </is>
      </c>
    </row>
    <row r="16">
      <c r="A16" s="4" t="inlineStr">
        <is>
          <t>Seu galpão (app Estoque Vivo)</t>
        </is>
      </c>
      <c r="B16" s="13" t="n">
        <v>5258</v>
      </c>
      <c r="C16" s="14" t="n">
        <v>101927</v>
      </c>
      <c r="D16" s="14" t="n">
        <v>159589.3</v>
      </c>
      <c r="E16" s="6">
        <f>D16-C16</f>
        <v>57662.3</v>
      </c>
      <c r="F16" s="7" t="inlineStr">
        <is>
          <t>Números do app em 09/10/2026. Os envios em transferência já saíram do galpão no app.</t>
        </is>
      </c>
    </row>
    <row r="17">
      <c r="A17" s="4" t="inlineStr">
        <is>
          <t>Mercado Livre Full (no Full + a caminho)</t>
        </is>
      </c>
      <c r="B17" s="5">
        <f>B12</f>
        <v>2861</v>
      </c>
      <c r="C17" s="6">
        <f>C12</f>
        <v>86009.5</v>
      </c>
      <c r="D17" s="6">
        <f>D12</f>
        <v>133236.86</v>
      </c>
      <c r="E17" s="6">
        <f>E12</f>
        <v>47227.36</v>
      </c>
      <c r="F17" s="7" t="inlineStr">
        <is>
          <t>Total que ocupa espaço no Full, da tabela acima.</t>
        </is>
      </c>
    </row>
    <row r="18">
      <c r="A18" s="8" t="inlineStr">
        <is>
          <t>TOTAL DA EMPRESA</t>
        </is>
      </c>
      <c r="B18" s="9">
        <f>B16+B17</f>
        <v>8119</v>
      </c>
      <c r="C18" s="10">
        <f>C16+C17</f>
        <v>187936.5</v>
      </c>
      <c r="D18" s="10">
        <f>D16+D17</f>
        <v>292826.16</v>
      </c>
      <c r="E18" s="10">
        <f>E16+E17</f>
        <v>104889.66</v>
      </c>
      <c r="F18" s="11" t="inlineStr">
        <is>
          <t>Tudo o que é seu: galpão, Full, a caminho e devoluções.</t>
        </is>
      </c>
    </row>
    <row r="20">
      <c r="A20" s="12" t="inlineStr">
        <is>
          <t>Como ler</t>
        </is>
      </c>
    </row>
    <row r="21" ht="30" customHeight="1">
      <c r="A21" s="15" t="inlineStr">
        <is>
          <t>• Receita projetada = unidades × seu preço de venda líquido (o que você recebe por peça, já sem as tarifas do ML). Margem = receita − custo.</t>
        </is>
      </c>
    </row>
    <row r="22" ht="30" customHeight="1">
      <c r="A22" s="15" t="inlineStr">
        <is>
          <t>• Custo e preço vêm do seu catálogo (células amarelas da aba Full por SKU). Se mudar um valor ali, o resumo recalcula sozinho.</t>
        </is>
      </c>
    </row>
    <row r="23" ht="30" customHeight="1">
      <c r="A23" s="15" t="inlineStr">
        <is>
          <t>• Não aptas = espaço ocupado − (aptas + entrada pendente + em transferência + devolvidas). O print esconde as colunas de não aptas do ML; a conta fecha com o total de 2.861 unidades do relatório.</t>
        </is>
      </c>
    </row>
    <row r="24" ht="30" customHeight="1">
      <c r="A24" s="15" t="inlineStr">
        <is>
          <t>• O print não traz vendas dos últimos 30 dias nem urgência de envio. Para ter cobertura em dias, mande o arquivo .xlsx do relatório do ML.</t>
        </is>
      </c>
    </row>
  </sheetData>
  <mergeCells count="4">
    <mergeCell ref="A24:F24"/>
    <mergeCell ref="A21:F21"/>
    <mergeCell ref="A22:F22"/>
    <mergeCell ref="A23:F2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44" customWidth="1" min="3" max="3"/>
    <col width="10" customWidth="1" min="4" max="4"/>
    <col width="8" customWidth="1" min="5" max="5"/>
    <col width="9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14" customWidth="1" min="15" max="15"/>
    <col width="14" customWidth="1" min="16" max="16"/>
    <col width="10" customWidth="1" min="17" max="17"/>
  </cols>
  <sheetData>
    <row r="1" ht="44" customHeight="1">
      <c r="A1" s="3" t="inlineStr">
        <is>
          <t>SKU no ML</t>
        </is>
      </c>
      <c r="B1" s="3" t="inlineStr">
        <is>
          <t>Código</t>
        </is>
      </c>
      <c r="C1" s="3" t="inlineStr">
        <is>
          <t>Produto</t>
        </is>
      </c>
      <c r="D1" s="3" t="inlineStr">
        <is>
          <t>Aptas para venda</t>
        </is>
      </c>
      <c r="E1" s="3" t="inlineStr">
        <is>
          <t>Não aptas</t>
        </is>
      </c>
      <c r="F1" s="3" t="inlineStr">
        <is>
          <t>Total no Full</t>
        </is>
      </c>
      <c r="G1" s="3" t="inlineStr">
        <is>
          <t>Entrada pendente (em contagem)</t>
        </is>
      </c>
      <c r="H1" s="3" t="inlineStr">
        <is>
          <t>Em transferência (a caminho)</t>
        </is>
      </c>
      <c r="I1" s="3" t="inlineStr">
        <is>
          <t>Devolvidas pelo comprador</t>
        </is>
      </c>
      <c r="J1" s="3" t="inlineStr">
        <is>
          <t>Total pendente / a caminho</t>
        </is>
      </c>
      <c r="K1" s="3" t="inlineStr">
        <is>
          <t>Ocupam espaço no Full (ML)</t>
        </is>
      </c>
      <c r="L1" s="3" t="inlineStr">
        <is>
          <t>Custo unit. (R$)</t>
        </is>
      </c>
      <c r="M1" s="3" t="inlineStr">
        <is>
          <t>Preço venda líquido (R$)</t>
        </is>
      </c>
      <c r="N1" s="3" t="inlineStr">
        <is>
          <t>Custo total (R$)</t>
        </is>
      </c>
      <c r="O1" s="3" t="inlineStr">
        <is>
          <t>Receita projetada (R$)</t>
        </is>
      </c>
      <c r="P1" s="3" t="inlineStr">
        <is>
          <t>Margem projetada (R$)</t>
        </is>
      </c>
      <c r="Q1" s="3" t="inlineStr">
        <is>
          <t>No seu galpão (app)</t>
        </is>
      </c>
    </row>
    <row r="2">
      <c r="A2" s="4" t="inlineStr">
        <is>
          <t>5801full</t>
        </is>
      </c>
      <c r="B2" s="4" t="inlineStr">
        <is>
          <t>5801</t>
        </is>
      </c>
      <c r="C2" s="4" t="inlineStr">
        <is>
          <t>Retentor Volante Gol Voyage Vw G4 G5 G6 1.0 1.6 8v Fox 5801</t>
        </is>
      </c>
      <c r="D2" s="5" t="n">
        <v>48</v>
      </c>
      <c r="E2" s="5" t="n">
        <v>5</v>
      </c>
      <c r="F2" s="5">
        <f>D2+E2</f>
        <v>53</v>
      </c>
      <c r="G2" s="5" t="n">
        <v>200</v>
      </c>
      <c r="H2" s="5" t="n">
        <v>13</v>
      </c>
      <c r="I2" s="5" t="n">
        <v>5</v>
      </c>
      <c r="J2" s="5">
        <f>G2+H2+I2</f>
        <v>218</v>
      </c>
      <c r="K2" s="5">
        <f>F2+J2</f>
        <v>271</v>
      </c>
      <c r="L2" s="16" t="n">
        <v>85</v>
      </c>
      <c r="M2" s="16" t="n">
        <v>128.49</v>
      </c>
      <c r="N2" s="6">
        <f>K2*L2</f>
        <v>23035</v>
      </c>
      <c r="O2" s="6">
        <f>K2*M2</f>
        <v>34820.79</v>
      </c>
      <c r="P2" s="6">
        <f>O2-N2</f>
        <v>11785.79</v>
      </c>
      <c r="Q2" s="5" t="n">
        <v>4</v>
      </c>
    </row>
    <row r="3">
      <c r="A3" s="4" t="inlineStr">
        <is>
          <t>5338full</t>
        </is>
      </c>
      <c r="B3" s="4" t="inlineStr">
        <is>
          <t>5338</t>
        </is>
      </c>
      <c r="C3" s="4" t="inlineStr">
        <is>
          <t>Retentor Traseiro Virabrequim Fiesta Ka Sabó 5338 Zetec</t>
        </is>
      </c>
      <c r="D3" s="5" t="n">
        <v>80</v>
      </c>
      <c r="E3" s="5" t="n">
        <v>1</v>
      </c>
      <c r="F3" s="5">
        <f>D3+E3</f>
        <v>81</v>
      </c>
      <c r="G3" s="5" t="n">
        <v>67</v>
      </c>
      <c r="H3" s="5" t="n">
        <v>163</v>
      </c>
      <c r="I3" s="5" t="n">
        <v>3</v>
      </c>
      <c r="J3" s="5">
        <f>G3+H3+I3</f>
        <v>233</v>
      </c>
      <c r="K3" s="5">
        <f>F3+J3</f>
        <v>314</v>
      </c>
      <c r="L3" s="16" t="n">
        <v>60</v>
      </c>
      <c r="M3" s="16" t="n">
        <v>88.22</v>
      </c>
      <c r="N3" s="6">
        <f>K3*L3</f>
        <v>18840</v>
      </c>
      <c r="O3" s="6">
        <f>K3*M3</f>
        <v>27701.08</v>
      </c>
      <c r="P3" s="6">
        <f>O3-N3</f>
        <v>8861.08</v>
      </c>
      <c r="Q3" s="5" t="n">
        <v>161</v>
      </c>
    </row>
    <row r="4">
      <c r="A4" s="4" t="inlineStr">
        <is>
          <t>8126full</t>
        </is>
      </c>
      <c r="B4" s="4" t="inlineStr">
        <is>
          <t>8126 STD</t>
        </is>
      </c>
      <c r="C4" s="4" t="inlineStr">
        <is>
          <t>Jogo Anel Pistao Std Vw Fox 1.6 8v Ea111 2004 A 2016</t>
        </is>
      </c>
      <c r="D4" s="5" t="n">
        <v>71</v>
      </c>
      <c r="E4" s="5" t="n">
        <v>0</v>
      </c>
      <c r="F4" s="5">
        <f>D4+E4</f>
        <v>71</v>
      </c>
      <c r="G4" s="5" t="n">
        <v>20</v>
      </c>
      <c r="H4" s="5" t="n">
        <v>33</v>
      </c>
      <c r="I4" s="5" t="n">
        <v>0</v>
      </c>
      <c r="J4" s="5">
        <f>G4+H4+I4</f>
        <v>53</v>
      </c>
      <c r="K4" s="5">
        <f>F4+J4</f>
        <v>124</v>
      </c>
      <c r="L4" s="16" t="n">
        <v>75</v>
      </c>
      <c r="M4" s="16" t="n">
        <v>129.97</v>
      </c>
      <c r="N4" s="6">
        <f>K4*L4</f>
        <v>9300</v>
      </c>
      <c r="O4" s="6">
        <f>K4*M4</f>
        <v>16116.28</v>
      </c>
      <c r="P4" s="6">
        <f>O4-N4</f>
        <v>6816.28</v>
      </c>
      <c r="Q4" s="5" t="n">
        <v>233</v>
      </c>
    </row>
    <row r="5">
      <c r="A5" s="4" t="inlineStr">
        <is>
          <t>7224STDfull</t>
        </is>
      </c>
      <c r="B5" s="4" t="inlineStr">
        <is>
          <t>7224 STD</t>
        </is>
      </c>
      <c r="C5" s="4" t="inlineStr">
        <is>
          <t>Jogo Anéis Motor Vw 1.0 Fox 8v At Ea111 2004 A 2010 7224 Std</t>
        </is>
      </c>
      <c r="D5" s="5" t="n">
        <v>7</v>
      </c>
      <c r="E5" s="5" t="n">
        <v>0</v>
      </c>
      <c r="F5" s="5">
        <f>D5+E5</f>
        <v>7</v>
      </c>
      <c r="G5" s="5" t="n">
        <v>50</v>
      </c>
      <c r="H5" s="5" t="n">
        <v>0</v>
      </c>
      <c r="I5" s="5" t="n">
        <v>0</v>
      </c>
      <c r="J5" s="5">
        <f>G5+H5+I5</f>
        <v>50</v>
      </c>
      <c r="K5" s="5">
        <f>F5+J5</f>
        <v>57</v>
      </c>
      <c r="L5" s="16" t="n">
        <v>75</v>
      </c>
      <c r="M5" s="16" t="n">
        <v>125.87</v>
      </c>
      <c r="N5" s="6">
        <f>K5*L5</f>
        <v>4275</v>
      </c>
      <c r="O5" s="6">
        <f>K5*M5</f>
        <v>7174.59</v>
      </c>
      <c r="P5" s="6">
        <f>O5-N5</f>
        <v>2899.59</v>
      </c>
      <c r="Q5" s="5" t="n">
        <v>9</v>
      </c>
    </row>
    <row r="6">
      <c r="A6" s="4" t="inlineStr">
        <is>
          <t>5772strada</t>
        </is>
      </c>
      <c r="B6" s="4" t="inlineStr">
        <is>
          <t>5772</t>
        </is>
      </c>
      <c r="C6" s="4" t="inlineStr">
        <is>
          <t>Retentor Traseiro Virabrequim Sabo Fiat Strada Fire 1.4 8v</t>
        </is>
      </c>
      <c r="D6" s="5" t="n">
        <v>22</v>
      </c>
      <c r="E6" s="5" t="n">
        <v>2</v>
      </c>
      <c r="F6" s="5">
        <f>D6+E6</f>
        <v>24</v>
      </c>
      <c r="G6" s="5" t="n">
        <v>0</v>
      </c>
      <c r="H6" s="5" t="n">
        <v>60</v>
      </c>
      <c r="I6" s="5" t="n">
        <v>0</v>
      </c>
      <c r="J6" s="5">
        <f>G6+H6+I6</f>
        <v>60</v>
      </c>
      <c r="K6" s="5">
        <f>F6+J6</f>
        <v>84</v>
      </c>
      <c r="L6" s="16" t="n">
        <v>50</v>
      </c>
      <c r="M6" s="16" t="n">
        <v>65.84</v>
      </c>
      <c r="N6" s="6">
        <f>K6*L6</f>
        <v>4200</v>
      </c>
      <c r="O6" s="6">
        <f>K6*M6</f>
        <v>5530.56</v>
      </c>
      <c r="P6" s="6">
        <f>O6-N6</f>
        <v>1330.56</v>
      </c>
      <c r="Q6" s="5" t="n">
        <v>18</v>
      </c>
    </row>
    <row r="7">
      <c r="A7" s="4" t="inlineStr">
        <is>
          <t>7092</t>
        </is>
      </c>
      <c r="B7" s="4" t="inlineStr">
        <is>
          <t>7092</t>
        </is>
      </c>
      <c r="C7" s="4" t="inlineStr">
        <is>
          <t>Jogo Aneis Pistao Std Chevrolet Corsa 1.0 8v De 1994 A 2006</t>
        </is>
      </c>
      <c r="D7" s="5" t="n">
        <v>44</v>
      </c>
      <c r="E7" s="5" t="n">
        <v>0</v>
      </c>
      <c r="F7" s="5">
        <f>D7+E7</f>
        <v>44</v>
      </c>
      <c r="G7" s="5" t="n">
        <v>0</v>
      </c>
      <c r="H7" s="5" t="n">
        <v>0</v>
      </c>
      <c r="I7" s="5" t="n">
        <v>0</v>
      </c>
      <c r="J7" s="5">
        <f>G7+H7+I7</f>
        <v>0</v>
      </c>
      <c r="K7" s="5">
        <f>F7+J7</f>
        <v>44</v>
      </c>
      <c r="L7" s="16" t="n">
        <v>75</v>
      </c>
      <c r="M7" s="16" t="n">
        <v>126.89</v>
      </c>
      <c r="N7" s="6">
        <f>K7*L7</f>
        <v>3300</v>
      </c>
      <c r="O7" s="6">
        <f>K7*M7</f>
        <v>5583.16</v>
      </c>
      <c r="P7" s="6">
        <f>O7-N7</f>
        <v>2283.16</v>
      </c>
      <c r="Q7" s="5" t="n">
        <v>95</v>
      </c>
    </row>
    <row r="8">
      <c r="A8" s="4" t="inlineStr">
        <is>
          <t>9203full</t>
        </is>
      </c>
      <c r="B8" s="4" t="inlineStr">
        <is>
          <t>9203</t>
        </is>
      </c>
      <c r="C8" s="4" t="inlineStr">
        <is>
          <t>Vedadores Haste De Válvula Gol 1.0/1.6 Motor Ea111 6mm 09203</t>
        </is>
      </c>
      <c r="D8" s="5" t="n">
        <v>249</v>
      </c>
      <c r="E8" s="5" t="n">
        <v>1</v>
      </c>
      <c r="F8" s="5">
        <f>D8+E8</f>
        <v>250</v>
      </c>
      <c r="G8" s="5" t="n">
        <v>0</v>
      </c>
      <c r="H8" s="5" t="n">
        <v>71</v>
      </c>
      <c r="I8" s="5" t="n">
        <v>9</v>
      </c>
      <c r="J8" s="5">
        <f>G8+H8+I8</f>
        <v>80</v>
      </c>
      <c r="K8" s="5">
        <f>F8+J8</f>
        <v>330</v>
      </c>
      <c r="L8" s="16" t="n">
        <v>9</v>
      </c>
      <c r="M8" s="16" t="n">
        <v>11.25</v>
      </c>
      <c r="N8" s="6">
        <f>K8*L8</f>
        <v>2970</v>
      </c>
      <c r="O8" s="6">
        <f>K8*M8</f>
        <v>3712.5</v>
      </c>
      <c r="P8" s="6">
        <f>O8-N8</f>
        <v>742.5</v>
      </c>
      <c r="Q8" s="5" t="n">
        <v>208</v>
      </c>
    </row>
    <row r="9">
      <c r="A9" s="4" t="inlineStr">
        <is>
          <t>2178full</t>
        </is>
      </c>
      <c r="B9" s="4" t="inlineStr">
        <is>
          <t>2178</t>
        </is>
      </c>
      <c r="C9" s="4" t="inlineStr">
        <is>
          <t>Retentor Do Comando Válvulas Astra Celta Corsa Meriva Vectra</t>
        </is>
      </c>
      <c r="D9" s="5" t="n">
        <v>301</v>
      </c>
      <c r="E9" s="5" t="n">
        <v>4</v>
      </c>
      <c r="F9" s="5">
        <f>D9+E9</f>
        <v>305</v>
      </c>
      <c r="G9" s="5" t="n">
        <v>2</v>
      </c>
      <c r="H9" s="5" t="n">
        <v>41</v>
      </c>
      <c r="I9" s="5" t="n">
        <v>9</v>
      </c>
      <c r="J9" s="5">
        <f>G9+H9+I9</f>
        <v>52</v>
      </c>
      <c r="K9" s="5">
        <f>F9+J9</f>
        <v>357</v>
      </c>
      <c r="L9" s="16" t="n">
        <v>8</v>
      </c>
      <c r="M9" s="16" t="n">
        <v>10.55</v>
      </c>
      <c r="N9" s="6">
        <f>K9*L9</f>
        <v>2856</v>
      </c>
      <c r="O9" s="6">
        <f>K9*M9</f>
        <v>3766.35</v>
      </c>
      <c r="P9" s="6">
        <f>O9-N9</f>
        <v>910.35</v>
      </c>
      <c r="Q9" s="5" t="n">
        <v>103</v>
      </c>
    </row>
    <row r="10">
      <c r="A10" s="4" t="inlineStr">
        <is>
          <t>5159full</t>
        </is>
      </c>
      <c r="B10" s="4" t="inlineStr">
        <is>
          <t>5159</t>
        </is>
      </c>
      <c r="C10" s="4" t="inlineStr">
        <is>
          <t>Retentor Eixo Comando Gol Power Motor Ea111 8 Válvulas 5159</t>
        </is>
      </c>
      <c r="D10" s="5" t="n">
        <v>272</v>
      </c>
      <c r="E10" s="5" t="n">
        <v>0</v>
      </c>
      <c r="F10" s="5">
        <f>D10+E10</f>
        <v>272</v>
      </c>
      <c r="G10" s="5" t="n">
        <v>0</v>
      </c>
      <c r="H10" s="5" t="n">
        <v>0</v>
      </c>
      <c r="I10" s="5" t="n">
        <v>0</v>
      </c>
      <c r="J10" s="5">
        <f>G10+H10+I10</f>
        <v>0</v>
      </c>
      <c r="K10" s="5">
        <f>F10+J10</f>
        <v>272</v>
      </c>
      <c r="L10" s="16" t="n">
        <v>8</v>
      </c>
      <c r="M10" s="16" t="n">
        <v>11.78</v>
      </c>
      <c r="N10" s="6">
        <f>K10*L10</f>
        <v>2176</v>
      </c>
      <c r="O10" s="6">
        <f>K10*M10</f>
        <v>3204.16</v>
      </c>
      <c r="P10" s="6">
        <f>O10-N10</f>
        <v>1028.16</v>
      </c>
      <c r="Q10" s="5" t="n">
        <v>881</v>
      </c>
    </row>
    <row r="11">
      <c r="A11" s="4" t="inlineStr">
        <is>
          <t>5601full</t>
        </is>
      </c>
      <c r="B11" s="4" t="inlineStr">
        <is>
          <t>5601</t>
        </is>
      </c>
      <c r="C11" s="4" t="inlineStr">
        <is>
          <t>Retentor Volante Clio/sandero/logan/megane/ 1.6 8/16v 5601</t>
        </is>
      </c>
      <c r="D11" s="5" t="n">
        <v>34</v>
      </c>
      <c r="E11" s="5" t="n">
        <v>0</v>
      </c>
      <c r="F11" s="5">
        <f>D11+E11</f>
        <v>34</v>
      </c>
      <c r="G11" s="5" t="n">
        <v>30</v>
      </c>
      <c r="H11" s="5" t="n">
        <v>8</v>
      </c>
      <c r="I11" s="5" t="n">
        <v>0</v>
      </c>
      <c r="J11" s="5">
        <f>G11+H11+I11</f>
        <v>38</v>
      </c>
      <c r="K11" s="5">
        <f>F11+J11</f>
        <v>72</v>
      </c>
      <c r="L11" s="16" t="n">
        <v>25</v>
      </c>
      <c r="M11" s="16" t="n">
        <v>37.34</v>
      </c>
      <c r="N11" s="6">
        <f>K11*L11</f>
        <v>1800</v>
      </c>
      <c r="O11" s="6">
        <f>K11*M11</f>
        <v>2688.48</v>
      </c>
      <c r="P11" s="6">
        <f>O11-N11</f>
        <v>888.48</v>
      </c>
      <c r="Q11" s="5" t="n">
        <v>84</v>
      </c>
    </row>
    <row r="12">
      <c r="A12" s="4" t="inlineStr">
        <is>
          <t>5699full</t>
        </is>
      </c>
      <c r="B12" s="4" t="inlineStr">
        <is>
          <t>5699</t>
        </is>
      </c>
      <c r="C12" s="4" t="inlineStr">
        <is>
          <t>Retentor Do Volante Liso Vw Fox 1.0 8v At Power 2001 A 2007</t>
        </is>
      </c>
      <c r="D12" s="5" t="n">
        <v>17</v>
      </c>
      <c r="E12" s="5" t="n">
        <v>0</v>
      </c>
      <c r="F12" s="5">
        <f>D12+E12</f>
        <v>17</v>
      </c>
      <c r="G12" s="5" t="n">
        <v>0</v>
      </c>
      <c r="H12" s="5" t="n">
        <v>1</v>
      </c>
      <c r="I12" s="5" t="n">
        <v>0</v>
      </c>
      <c r="J12" s="5">
        <f>G12+H12+I12</f>
        <v>1</v>
      </c>
      <c r="K12" s="5">
        <f>F12+J12</f>
        <v>18</v>
      </c>
      <c r="L12" s="16" t="n">
        <v>95</v>
      </c>
      <c r="M12" s="16" t="n">
        <v>168.08</v>
      </c>
      <c r="N12" s="6">
        <f>K12*L12</f>
        <v>1710</v>
      </c>
      <c r="O12" s="6">
        <f>K12*M12</f>
        <v>3025.44</v>
      </c>
      <c r="P12" s="6">
        <f>O12-N12</f>
        <v>1315.44</v>
      </c>
      <c r="Q12" s="5" t="n">
        <v>24</v>
      </c>
    </row>
    <row r="13">
      <c r="A13" s="4" t="inlineStr">
        <is>
          <t>6631050full</t>
        </is>
      </c>
      <c r="B13" s="4" t="inlineStr">
        <is>
          <t>6631 0,50</t>
        </is>
      </c>
      <c r="C13" s="4" t="inlineStr">
        <is>
          <t>Jogo Aneis Motor Original 050 Gm Monza 2.0 8v 1986 Ate 1997</t>
        </is>
      </c>
      <c r="D13" s="5" t="n">
        <v>17</v>
      </c>
      <c r="E13" s="5" t="n">
        <v>0</v>
      </c>
      <c r="F13" s="5">
        <f>D13+E13</f>
        <v>17</v>
      </c>
      <c r="G13" s="5" t="n">
        <v>0</v>
      </c>
      <c r="H13" s="5" t="n">
        <v>2</v>
      </c>
      <c r="I13" s="5" t="n">
        <v>0</v>
      </c>
      <c r="J13" s="5">
        <f>G13+H13+I13</f>
        <v>2</v>
      </c>
      <c r="K13" s="5">
        <f>F13+J13</f>
        <v>19</v>
      </c>
      <c r="L13" s="16" t="n">
        <v>75</v>
      </c>
      <c r="M13" s="16" t="n">
        <v>135.84</v>
      </c>
      <c r="N13" s="6">
        <f>K13*L13</f>
        <v>1425</v>
      </c>
      <c r="O13" s="6">
        <f>K13*M13</f>
        <v>2580.96</v>
      </c>
      <c r="P13" s="6">
        <f>O13-N13</f>
        <v>1155.96</v>
      </c>
      <c r="Q13" s="5" t="n">
        <v>79</v>
      </c>
    </row>
    <row r="14">
      <c r="A14" s="4" t="inlineStr">
        <is>
          <t>5502</t>
        </is>
      </c>
      <c r="B14" s="4" t="inlineStr">
        <is>
          <t>5502</t>
        </is>
      </c>
      <c r="C14" s="4" t="inlineStr">
        <is>
          <t>Retentor Virabrequim Traseiro Gol Parati 1.0 8v 16v Motor At</t>
        </is>
      </c>
      <c r="D14" s="5" t="n">
        <v>19</v>
      </c>
      <c r="E14" s="5" t="n">
        <v>1</v>
      </c>
      <c r="F14" s="5">
        <f>D14+E14</f>
        <v>20</v>
      </c>
      <c r="G14" s="5" t="n">
        <v>0</v>
      </c>
      <c r="H14" s="5" t="n">
        <v>0</v>
      </c>
      <c r="I14" s="5" t="n">
        <v>0</v>
      </c>
      <c r="J14" s="5">
        <f>G14+H14+I14</f>
        <v>0</v>
      </c>
      <c r="K14" s="5">
        <f>F14+J14</f>
        <v>20</v>
      </c>
      <c r="L14" s="16" t="n">
        <v>70</v>
      </c>
      <c r="M14" s="16" t="n">
        <v>119.3</v>
      </c>
      <c r="N14" s="6">
        <f>K14*L14</f>
        <v>1400</v>
      </c>
      <c r="O14" s="6">
        <f>K14*M14</f>
        <v>2386.0</v>
      </c>
      <c r="P14" s="6">
        <f>O14-N14</f>
        <v>986.0</v>
      </c>
      <c r="Q14" s="5" t="n">
        <v>24</v>
      </c>
    </row>
    <row r="15">
      <c r="A15" s="4" t="inlineStr">
        <is>
          <t>3044full</t>
        </is>
      </c>
      <c r="B15" s="4" t="inlineStr">
        <is>
          <t>3044</t>
        </is>
      </c>
      <c r="C15" s="4" t="inlineStr">
        <is>
          <t>Jogo 8 Retentores Valvula Motor Palio Uno Fire 1.0 8v 03044</t>
        </is>
      </c>
      <c r="D15" s="5" t="n">
        <v>120</v>
      </c>
      <c r="E15" s="5" t="n">
        <v>2</v>
      </c>
      <c r="F15" s="5">
        <f>D15+E15</f>
        <v>122</v>
      </c>
      <c r="G15" s="5" t="n">
        <v>0</v>
      </c>
      <c r="H15" s="5" t="n">
        <v>14</v>
      </c>
      <c r="I15" s="5" t="n">
        <v>3</v>
      </c>
      <c r="J15" s="5">
        <f>G15+H15+I15</f>
        <v>17</v>
      </c>
      <c r="K15" s="5">
        <f>F15+J15</f>
        <v>139</v>
      </c>
      <c r="L15" s="16" t="n">
        <v>8.5</v>
      </c>
      <c r="M15" s="16" t="n">
        <v>13.38</v>
      </c>
      <c r="N15" s="6">
        <f>K15*L15</f>
        <v>1181.5</v>
      </c>
      <c r="O15" s="6">
        <f>K15*M15</f>
        <v>1859.82</v>
      </c>
      <c r="P15" s="6">
        <f>O15-N15</f>
        <v>678.32</v>
      </c>
      <c r="Q15" s="5" t="n">
        <v>372</v>
      </c>
    </row>
    <row r="16">
      <c r="A16" s="4" t="inlineStr">
        <is>
          <t>5245full</t>
        </is>
      </c>
      <c r="B16" s="4" t="inlineStr">
        <is>
          <t>5245</t>
        </is>
      </c>
      <c r="C16" s="4" t="inlineStr">
        <is>
          <t>Retentor Volante Traseiro Palio Fiat Fire 1.0/1.3l 8v Sabó</t>
        </is>
      </c>
      <c r="D16" s="5" t="n">
        <v>2</v>
      </c>
      <c r="E16" s="5" t="n">
        <v>7</v>
      </c>
      <c r="F16" s="5">
        <f>D16+E16</f>
        <v>9</v>
      </c>
      <c r="G16" s="5" t="n">
        <v>0</v>
      </c>
      <c r="H16" s="5" t="n">
        <v>4</v>
      </c>
      <c r="I16" s="5" t="n">
        <v>7</v>
      </c>
      <c r="J16" s="5">
        <f>G16+H16+I16</f>
        <v>11</v>
      </c>
      <c r="K16" s="5">
        <f>F16+J16</f>
        <v>20</v>
      </c>
      <c r="L16" s="16" t="n">
        <v>55</v>
      </c>
      <c r="M16" s="16" t="n">
        <v>67.59</v>
      </c>
      <c r="N16" s="6">
        <f>K16*L16</f>
        <v>1100</v>
      </c>
      <c r="O16" s="6">
        <f>K16*M16</f>
        <v>1351.8</v>
      </c>
      <c r="P16" s="6">
        <f>O16-N16</f>
        <v>251.8</v>
      </c>
      <c r="Q16" s="5" t="n">
        <v>0</v>
      </c>
    </row>
    <row r="17">
      <c r="A17" s="4" t="inlineStr">
        <is>
          <t>2374full</t>
        </is>
      </c>
      <c r="B17" s="4" t="inlineStr">
        <is>
          <t>2374</t>
        </is>
      </c>
      <c r="C17" s="4" t="inlineStr">
        <is>
          <t>Retentor Câmbio Monza Corsa Celta Onix Prisma Vectra 02374</t>
        </is>
      </c>
      <c r="D17" s="5" t="n">
        <v>126</v>
      </c>
      <c r="E17" s="5" t="n">
        <v>0</v>
      </c>
      <c r="F17" s="5">
        <f>D17+E17</f>
        <v>126</v>
      </c>
      <c r="G17" s="5" t="n">
        <v>0</v>
      </c>
      <c r="H17" s="5" t="n">
        <v>4</v>
      </c>
      <c r="I17" s="5" t="n">
        <v>0</v>
      </c>
      <c r="J17" s="5">
        <f>G17+H17+I17</f>
        <v>4</v>
      </c>
      <c r="K17" s="5">
        <f>F17+J17</f>
        <v>130</v>
      </c>
      <c r="L17" s="16" t="n">
        <v>8</v>
      </c>
      <c r="M17" s="16" t="n">
        <v>16.2</v>
      </c>
      <c r="N17" s="6">
        <f>K17*L17</f>
        <v>1040</v>
      </c>
      <c r="O17" s="6">
        <f>K17*M17</f>
        <v>2106.0</v>
      </c>
      <c r="P17" s="6">
        <f>O17-N17</f>
        <v>1066.0</v>
      </c>
      <c r="Q17" s="5" t="n">
        <v>192</v>
      </c>
    </row>
    <row r="18">
      <c r="A18" s="4" t="inlineStr">
        <is>
          <t>1942full</t>
        </is>
      </c>
      <c r="B18" s="4" t="inlineStr">
        <is>
          <t>1942</t>
        </is>
      </c>
      <c r="C18" s="4" t="inlineStr">
        <is>
          <t>Retentor Comando Polia Vira Motor Ap 1.6 1.8 2.0 1942</t>
        </is>
      </c>
      <c r="D18" s="5" t="n">
        <v>110</v>
      </c>
      <c r="E18" s="5" t="n">
        <v>0</v>
      </c>
      <c r="F18" s="5">
        <f>D18+E18</f>
        <v>110</v>
      </c>
      <c r="G18" s="5" t="n">
        <v>0</v>
      </c>
      <c r="H18" s="5" t="n">
        <v>12</v>
      </c>
      <c r="I18" s="5" t="n">
        <v>3</v>
      </c>
      <c r="J18" s="5">
        <f>G18+H18+I18</f>
        <v>15</v>
      </c>
      <c r="K18" s="5">
        <f>F18+J18</f>
        <v>125</v>
      </c>
      <c r="L18" s="16" t="n">
        <v>8</v>
      </c>
      <c r="M18" s="16" t="n">
        <v>12.32</v>
      </c>
      <c r="N18" s="6">
        <f>K18*L18</f>
        <v>1000</v>
      </c>
      <c r="O18" s="6">
        <f>K18*M18</f>
        <v>1540.0</v>
      </c>
      <c r="P18" s="6">
        <f>O18-N18</f>
        <v>540.0</v>
      </c>
      <c r="Q18" s="5" t="n">
        <v>457</v>
      </c>
    </row>
    <row r="19">
      <c r="A19" s="4" t="inlineStr">
        <is>
          <t>2544full</t>
        </is>
      </c>
      <c r="B19" s="4" t="inlineStr">
        <is>
          <t>2544</t>
        </is>
      </c>
      <c r="C19" s="4" t="inlineStr">
        <is>
          <t>Jogo 8 Retentor Valvula Motor Ap 1.6 1.8 2.0 Sabo 2544bref</t>
        </is>
      </c>
      <c r="D19" s="5" t="n">
        <v>46</v>
      </c>
      <c r="E19" s="5" t="n">
        <v>0</v>
      </c>
      <c r="F19" s="5">
        <f>D19+E19</f>
        <v>46</v>
      </c>
      <c r="G19" s="5" t="n">
        <v>25</v>
      </c>
      <c r="H19" s="5" t="n">
        <v>2</v>
      </c>
      <c r="I19" s="5" t="n">
        <v>0</v>
      </c>
      <c r="J19" s="5">
        <f>G19+H19+I19</f>
        <v>27</v>
      </c>
      <c r="K19" s="5">
        <f>F19+J19</f>
        <v>73</v>
      </c>
      <c r="L19" s="16" t="n">
        <v>12</v>
      </c>
      <c r="M19" s="16" t="n">
        <v>18.31</v>
      </c>
      <c r="N19" s="6">
        <f>K19*L19</f>
        <v>876</v>
      </c>
      <c r="O19" s="6">
        <f>K19*M19</f>
        <v>1336.63</v>
      </c>
      <c r="P19" s="6">
        <f>O19-N19</f>
        <v>460.63</v>
      </c>
      <c r="Q19" s="5" t="n">
        <v>157</v>
      </c>
    </row>
    <row r="20">
      <c r="A20" s="4" t="inlineStr">
        <is>
          <t>2525full</t>
        </is>
      </c>
      <c r="B20" s="4" t="inlineStr">
        <is>
          <t>2525</t>
        </is>
      </c>
      <c r="C20" s="4" t="inlineStr">
        <is>
          <t>Retentor Virabrequim Corsa Celta 1.0 1.4 8v Palio 1.8 02525</t>
        </is>
      </c>
      <c r="D20" s="5" t="n">
        <v>89</v>
      </c>
      <c r="E20" s="5" t="n">
        <v>1</v>
      </c>
      <c r="F20" s="5">
        <f>D20+E20</f>
        <v>90</v>
      </c>
      <c r="G20" s="5" t="n">
        <v>0</v>
      </c>
      <c r="H20" s="5" t="n">
        <v>0</v>
      </c>
      <c r="I20" s="5" t="n">
        <v>0</v>
      </c>
      <c r="J20" s="5">
        <f>G20+H20+I20</f>
        <v>0</v>
      </c>
      <c r="K20" s="5">
        <f>F20+J20</f>
        <v>90</v>
      </c>
      <c r="L20" s="16" t="n">
        <v>8</v>
      </c>
      <c r="M20" s="16" t="n">
        <v>12.47</v>
      </c>
      <c r="N20" s="6">
        <f>K20*L20</f>
        <v>720</v>
      </c>
      <c r="O20" s="6">
        <f>K20*M20</f>
        <v>1122.3</v>
      </c>
      <c r="P20" s="6">
        <f>O20-N20</f>
        <v>402.3</v>
      </c>
      <c r="Q20" s="5" t="n">
        <v>528</v>
      </c>
    </row>
    <row r="21">
      <c r="A21" s="4" t="inlineStr">
        <is>
          <t>2400full</t>
        </is>
      </c>
      <c r="B21" s="4" t="inlineStr">
        <is>
          <t>2400</t>
        </is>
      </c>
      <c r="C21" s="4" t="inlineStr">
        <is>
          <t>Retentor Vedador Haste Válvula Chevette Marajó 1.6 Sabó 2400</t>
        </is>
      </c>
      <c r="D21" s="5" t="n">
        <v>27</v>
      </c>
      <c r="E21" s="5" t="n">
        <v>0</v>
      </c>
      <c r="F21" s="5">
        <f>D21+E21</f>
        <v>27</v>
      </c>
      <c r="G21" s="5" t="n">
        <v>0</v>
      </c>
      <c r="H21" s="5" t="n">
        <v>3</v>
      </c>
      <c r="I21" s="5" t="n">
        <v>1</v>
      </c>
      <c r="J21" s="5">
        <f>G21+H21+I21</f>
        <v>4</v>
      </c>
      <c r="K21" s="5">
        <f>F21+J21</f>
        <v>31</v>
      </c>
      <c r="L21" s="16" t="n">
        <v>14</v>
      </c>
      <c r="M21" s="16" t="n">
        <v>27.06</v>
      </c>
      <c r="N21" s="6">
        <f>K21*L21</f>
        <v>434</v>
      </c>
      <c r="O21" s="6">
        <f>K21*M21</f>
        <v>838.86</v>
      </c>
      <c r="P21" s="6">
        <f>O21-N21</f>
        <v>404.86</v>
      </c>
      <c r="Q21" s="5" t="n">
        <v>69</v>
      </c>
    </row>
    <row r="22">
      <c r="A22" s="4" t="inlineStr">
        <is>
          <t>2283full</t>
        </is>
      </c>
      <c r="B22" s="4" t="inlineStr">
        <is>
          <t>2283</t>
        </is>
      </c>
      <c r="C22" s="4" t="inlineStr">
        <is>
          <t>Retentor Traseiro Virabrequim Santana 1.8/2.0 8v Ap 02283</t>
        </is>
      </c>
      <c r="D22" s="5" t="n">
        <v>27</v>
      </c>
      <c r="E22" s="5" t="n">
        <v>0</v>
      </c>
      <c r="F22" s="5">
        <f>D22+E22</f>
        <v>27</v>
      </c>
      <c r="G22" s="5" t="n">
        <v>0</v>
      </c>
      <c r="H22" s="5" t="n">
        <v>0</v>
      </c>
      <c r="I22" s="5" t="n">
        <v>0</v>
      </c>
      <c r="J22" s="5">
        <f>G22+H22+I22</f>
        <v>0</v>
      </c>
      <c r="K22" s="5">
        <f>F22+J22</f>
        <v>27</v>
      </c>
      <c r="L22" s="16" t="n">
        <v>15</v>
      </c>
      <c r="M22" s="16" t="n">
        <v>21.26</v>
      </c>
      <c r="N22" s="6">
        <f>K22*L22</f>
        <v>405</v>
      </c>
      <c r="O22" s="6">
        <f>K22*M22</f>
        <v>574.02</v>
      </c>
      <c r="P22" s="6">
        <f>O22-N22</f>
        <v>169.02</v>
      </c>
      <c r="Q22" s="5" t="n">
        <v>266</v>
      </c>
    </row>
    <row r="23">
      <c r="A23" s="4" t="inlineStr">
        <is>
          <t>2370full</t>
        </is>
      </c>
      <c r="B23" s="4" t="inlineStr">
        <is>
          <t>2370</t>
        </is>
      </c>
      <c r="C23" s="4" t="inlineStr">
        <is>
          <t>Retentor Semi Eixo Chevrolet Vectra 2.0 8v 1994 / 2011 2370</t>
        </is>
      </c>
      <c r="D23" s="5" t="n">
        <v>50</v>
      </c>
      <c r="E23" s="5" t="n">
        <v>0</v>
      </c>
      <c r="F23" s="5">
        <f>D23+E23</f>
        <v>50</v>
      </c>
      <c r="G23" s="5" t="n">
        <v>0</v>
      </c>
      <c r="H23" s="5" t="n">
        <v>7</v>
      </c>
      <c r="I23" s="5" t="n">
        <v>0</v>
      </c>
      <c r="J23" s="5">
        <f>G23+H23+I23</f>
        <v>7</v>
      </c>
      <c r="K23" s="5">
        <f>F23+J23</f>
        <v>57</v>
      </c>
      <c r="L23" s="16" t="n">
        <v>7</v>
      </c>
      <c r="M23" s="16" t="n">
        <v>10.3</v>
      </c>
      <c r="N23" s="6">
        <f>K23*L23</f>
        <v>399</v>
      </c>
      <c r="O23" s="6">
        <f>K23*M23</f>
        <v>587.1</v>
      </c>
      <c r="P23" s="6">
        <f>O23-N23</f>
        <v>188.1</v>
      </c>
      <c r="Q23" s="5" t="n">
        <v>313</v>
      </c>
    </row>
    <row r="24">
      <c r="A24" s="4" t="inlineStr">
        <is>
          <t>2373full</t>
        </is>
      </c>
      <c r="B24" s="4" t="inlineStr">
        <is>
          <t>2373</t>
        </is>
      </c>
      <c r="C24" s="4" t="inlineStr">
        <is>
          <t>Retentor Do Trambulador Gm Corsa Celta Prisma Sabó 2373</t>
        </is>
      </c>
      <c r="D24" s="5" t="n">
        <v>45</v>
      </c>
      <c r="E24" s="5" t="n">
        <v>0</v>
      </c>
      <c r="F24" s="5">
        <f>D24+E24</f>
        <v>45</v>
      </c>
      <c r="G24" s="5" t="n">
        <v>0</v>
      </c>
      <c r="H24" s="5" t="n">
        <v>4</v>
      </c>
      <c r="I24" s="5" t="n">
        <v>0</v>
      </c>
      <c r="J24" s="5">
        <f>G24+H24+I24</f>
        <v>4</v>
      </c>
      <c r="K24" s="5">
        <f>F24+J24</f>
        <v>49</v>
      </c>
      <c r="L24" s="16" t="n">
        <v>6</v>
      </c>
      <c r="M24" s="16" t="n">
        <v>12.48</v>
      </c>
      <c r="N24" s="6">
        <f>K24*L24</f>
        <v>294</v>
      </c>
      <c r="O24" s="6">
        <f>K24*M24</f>
        <v>611.52</v>
      </c>
      <c r="P24" s="6">
        <f>O24-N24</f>
        <v>317.52</v>
      </c>
      <c r="Q24" s="5" t="n">
        <v>49</v>
      </c>
    </row>
    <row r="25">
      <c r="A25" s="4" t="inlineStr">
        <is>
          <t>2317</t>
        </is>
      </c>
      <c r="B25" s="4" t="inlineStr">
        <is>
          <t>2317</t>
        </is>
      </c>
      <c r="C25" s="4" t="inlineStr">
        <is>
          <t>Retentor Dianteiro Virabrequim Omega Monza Vectra 2.0 8v</t>
        </is>
      </c>
      <c r="D25" s="5" t="n">
        <v>32</v>
      </c>
      <c r="E25" s="5" t="n">
        <v>0</v>
      </c>
      <c r="F25" s="5">
        <f>D25+E25</f>
        <v>32</v>
      </c>
      <c r="G25" s="5" t="n">
        <v>0</v>
      </c>
      <c r="H25" s="5" t="n">
        <v>1</v>
      </c>
      <c r="I25" s="5" t="n">
        <v>0</v>
      </c>
      <c r="J25" s="5">
        <f>G25+H25+I25</f>
        <v>1</v>
      </c>
      <c r="K25" s="5">
        <f>F25+J25</f>
        <v>33</v>
      </c>
      <c r="L25" s="16" t="n">
        <v>8</v>
      </c>
      <c r="M25" s="16" t="n">
        <v>18.5</v>
      </c>
      <c r="N25" s="6">
        <f>K25*L25</f>
        <v>264</v>
      </c>
      <c r="O25" s="6">
        <f>K25*M25</f>
        <v>610.5</v>
      </c>
      <c r="P25" s="6">
        <f>O25-N25</f>
        <v>346.5</v>
      </c>
      <c r="Q25" s="5" t="n">
        <v>41</v>
      </c>
    </row>
    <row r="26">
      <c r="A26" s="4" t="inlineStr">
        <is>
          <t>1135</t>
        </is>
      </c>
      <c r="B26" s="4" t="inlineStr">
        <is>
          <t>1135</t>
        </is>
      </c>
      <c r="C26" s="4" t="inlineStr">
        <is>
          <t>Retentor Do Volante Fusca Kombi 1300/1500/1600 1135 Vermelho</t>
        </is>
      </c>
      <c r="D26" s="5" t="n">
        <v>0</v>
      </c>
      <c r="E26" s="5" t="n">
        <v>0</v>
      </c>
      <c r="F26" s="5">
        <f>D26+E26</f>
        <v>0</v>
      </c>
      <c r="G26" s="5" t="n">
        <v>0</v>
      </c>
      <c r="H26" s="5" t="n">
        <v>20</v>
      </c>
      <c r="I26" s="5" t="n">
        <v>0</v>
      </c>
      <c r="J26" s="5">
        <f>G26+H26+I26</f>
        <v>20</v>
      </c>
      <c r="K26" s="5">
        <f>F26+J26</f>
        <v>20</v>
      </c>
      <c r="L26" s="16" t="n">
        <v>12</v>
      </c>
      <c r="M26" s="16" t="n">
        <v>20.44</v>
      </c>
      <c r="N26" s="6">
        <f>K26*L26</f>
        <v>240</v>
      </c>
      <c r="O26" s="6">
        <f>K26*M26</f>
        <v>408.8</v>
      </c>
      <c r="P26" s="6">
        <f>O26-N26</f>
        <v>168.8</v>
      </c>
      <c r="Q26" s="5" t="n">
        <v>96</v>
      </c>
    </row>
    <row r="27">
      <c r="A27" s="4" t="inlineStr">
        <is>
          <t>5266</t>
        </is>
      </c>
      <c r="B27" s="4" t="inlineStr">
        <is>
          <t>5266</t>
        </is>
      </c>
      <c r="C27" s="4" t="inlineStr">
        <is>
          <t>Retentor Virabrequim Polia Uno - Palio 1.0 1.3 8v Fire 5266</t>
        </is>
      </c>
      <c r="D27" s="5" t="n">
        <v>23</v>
      </c>
      <c r="E27" s="5" t="n">
        <v>0</v>
      </c>
      <c r="F27" s="5">
        <f>D27+E27</f>
        <v>23</v>
      </c>
      <c r="G27" s="5" t="n">
        <v>0</v>
      </c>
      <c r="H27" s="5" t="n">
        <v>5</v>
      </c>
      <c r="I27" s="5" t="n">
        <v>2</v>
      </c>
      <c r="J27" s="5">
        <f>G27+H27+I27</f>
        <v>7</v>
      </c>
      <c r="K27" s="5">
        <f>F27+J27</f>
        <v>30</v>
      </c>
      <c r="L27" s="16" t="n">
        <v>8</v>
      </c>
      <c r="M27" s="16" t="n">
        <v>22.37</v>
      </c>
      <c r="N27" s="6">
        <f>K27*L27</f>
        <v>240</v>
      </c>
      <c r="O27" s="6">
        <f>K27*M27</f>
        <v>671.1</v>
      </c>
      <c r="P27" s="6">
        <f>O27-N27</f>
        <v>431.1</v>
      </c>
      <c r="Q27" s="5" t="n">
        <v>83</v>
      </c>
    </row>
    <row r="28">
      <c r="A28" s="4" t="inlineStr">
        <is>
          <t>2371full</t>
        </is>
      </c>
      <c r="B28" s="4" t="inlineStr">
        <is>
          <t>2371</t>
        </is>
      </c>
      <c r="C28" s="4" t="inlineStr">
        <is>
          <t>Retentor Eixo Piloto Gm Corsa/celta/agile/montana/prisma</t>
        </is>
      </c>
      <c r="D28" s="5" t="n">
        <v>1</v>
      </c>
      <c r="E28" s="5" t="n">
        <v>0</v>
      </c>
      <c r="F28" s="5">
        <f>D28+E28</f>
        <v>1</v>
      </c>
      <c r="G28" s="5" t="n">
        <v>0</v>
      </c>
      <c r="H28" s="5" t="n">
        <v>30</v>
      </c>
      <c r="I28" s="5" t="n">
        <v>0</v>
      </c>
      <c r="J28" s="5">
        <f>G28+H28+I28</f>
        <v>30</v>
      </c>
      <c r="K28" s="5">
        <f>F28+J28</f>
        <v>31</v>
      </c>
      <c r="L28" s="16" t="n">
        <v>7</v>
      </c>
      <c r="M28" s="16" t="n">
        <v>20</v>
      </c>
      <c r="N28" s="6">
        <f>K28*L28</f>
        <v>217</v>
      </c>
      <c r="O28" s="6">
        <f>K28*M28</f>
        <v>620</v>
      </c>
      <c r="P28" s="6">
        <f>O28-N28</f>
        <v>403</v>
      </c>
      <c r="Q28" s="5" t="n">
        <v>327</v>
      </c>
    </row>
    <row r="29">
      <c r="A29" s="4" t="inlineStr">
        <is>
          <t>1035jfull</t>
        </is>
      </c>
      <c r="B29" s="4" t="inlineStr">
        <is>
          <t>1035-J</t>
        </is>
      </c>
      <c r="C29" s="4" t="inlineStr">
        <is>
          <t>Bronzina De Biela 0,25mm Gol/fox/parati 1.0 8v Ea111 1035j</t>
        </is>
      </c>
      <c r="D29" s="5" t="n">
        <v>5</v>
      </c>
      <c r="E29" s="5" t="n">
        <v>0</v>
      </c>
      <c r="F29" s="5">
        <f>D29+E29</f>
        <v>5</v>
      </c>
      <c r="G29" s="5" t="n">
        <v>0</v>
      </c>
      <c r="H29" s="5" t="n">
        <v>0</v>
      </c>
      <c r="I29" s="5" t="n">
        <v>0</v>
      </c>
      <c r="J29" s="5">
        <f>G29+H29+I29</f>
        <v>0</v>
      </c>
      <c r="K29" s="5">
        <f>F29+J29</f>
        <v>5</v>
      </c>
      <c r="L29" s="16" t="n">
        <v>32</v>
      </c>
      <c r="M29" s="16" t="n">
        <v>81.76000000000001</v>
      </c>
      <c r="N29" s="6">
        <f>K29*L29</f>
        <v>160</v>
      </c>
      <c r="O29" s="6">
        <f>K29*M29</f>
        <v>408.8</v>
      </c>
      <c r="P29" s="6">
        <f>O29-N29</f>
        <v>248.8</v>
      </c>
      <c r="Q29" s="5" t="n">
        <v>14</v>
      </c>
    </row>
    <row r="30">
      <c r="A30" s="4" t="inlineStr">
        <is>
          <t>2539</t>
        </is>
      </c>
      <c r="B30" s="4" t="inlineStr">
        <is>
          <t>2539</t>
        </is>
      </c>
      <c r="C30" s="4" t="inlineStr">
        <is>
          <t>Retentor Comando Uno Palio Fire 1.0 1.3 1.4 8v Sabó 2539</t>
        </is>
      </c>
      <c r="D30" s="5" t="n">
        <v>17</v>
      </c>
      <c r="E30" s="5" t="n">
        <v>0</v>
      </c>
      <c r="F30" s="5">
        <f>D30+E30</f>
        <v>17</v>
      </c>
      <c r="G30" s="5" t="n">
        <v>0</v>
      </c>
      <c r="H30" s="5" t="n">
        <v>1</v>
      </c>
      <c r="I30" s="5" t="n">
        <v>0</v>
      </c>
      <c r="J30" s="5">
        <f>G30+H30+I30</f>
        <v>1</v>
      </c>
      <c r="K30" s="5">
        <f>F30+J30</f>
        <v>18</v>
      </c>
      <c r="L30" s="16" t="n">
        <v>8</v>
      </c>
      <c r="M30" s="16" t="n">
        <v>15.88</v>
      </c>
      <c r="N30" s="6">
        <f>K30*L30</f>
        <v>144</v>
      </c>
      <c r="O30" s="6">
        <f>K30*M30</f>
        <v>285.84</v>
      </c>
      <c r="P30" s="6">
        <f>O30-N30</f>
        <v>141.84</v>
      </c>
      <c r="Q30" s="5" t="n">
        <v>35</v>
      </c>
    </row>
    <row r="31">
      <c r="A31" s="4" t="inlineStr">
        <is>
          <t>2075</t>
        </is>
      </c>
      <c r="B31" s="4" t="inlineStr">
        <is>
          <t>2075</t>
        </is>
      </c>
      <c r="C31" s="4" t="inlineStr">
        <is>
          <t>Retentor Eixo Piloto Gol/santana/saveiro/del Rey Sabó 02075</t>
        </is>
      </c>
      <c r="D31" s="5" t="n">
        <v>1</v>
      </c>
      <c r="E31" s="5" t="n">
        <v>0</v>
      </c>
      <c r="F31" s="5">
        <f>D31+E31</f>
        <v>1</v>
      </c>
      <c r="G31" s="5" t="n">
        <v>0</v>
      </c>
      <c r="H31" s="5" t="n">
        <v>0</v>
      </c>
      <c r="I31" s="5" t="n">
        <v>0</v>
      </c>
      <c r="J31" s="5">
        <f>G31+H31+I31</f>
        <v>0</v>
      </c>
      <c r="K31" s="5">
        <f>F31+J31</f>
        <v>1</v>
      </c>
      <c r="L31" s="16" t="n">
        <v>8</v>
      </c>
      <c r="M31" s="16" t="n">
        <v>13.42</v>
      </c>
      <c r="N31" s="6">
        <f>K31*L31</f>
        <v>8</v>
      </c>
      <c r="O31" s="6">
        <f>K31*M31</f>
        <v>13.42</v>
      </c>
      <c r="P31" s="6">
        <f>O31-N31</f>
        <v>5.42</v>
      </c>
      <c r="Q31" s="5" t="n">
        <v>123</v>
      </c>
    </row>
    <row r="32">
      <c r="A32" s="4" t="inlineStr">
        <is>
          <t>5702full</t>
        </is>
      </c>
      <c r="B32" s="4" t="inlineStr">
        <is>
          <t>5702</t>
        </is>
      </c>
      <c r="C32" s="4" t="inlineStr">
        <is>
          <t>Retentor Virabrequim Polia Zetec Rocam 1.0 / 1.4 / 1.6 05702</t>
        </is>
      </c>
      <c r="D32" s="5" t="n">
        <v>0</v>
      </c>
      <c r="E32" s="5" t="n">
        <v>0</v>
      </c>
      <c r="F32" s="5">
        <f>D32+E32</f>
        <v>0</v>
      </c>
      <c r="G32" s="5" t="n">
        <v>0</v>
      </c>
      <c r="H32" s="5" t="n">
        <v>0</v>
      </c>
      <c r="I32" s="5" t="n">
        <v>0</v>
      </c>
      <c r="J32" s="5">
        <f>G32+H32+I32</f>
        <v>0</v>
      </c>
      <c r="K32" s="5">
        <f>F32+J32</f>
        <v>0</v>
      </c>
      <c r="L32" s="16" t="n">
        <v>50</v>
      </c>
      <c r="M32" s="16" t="n">
        <v>50.33</v>
      </c>
      <c r="N32" s="6">
        <f>K32*L32</f>
        <v>0</v>
      </c>
      <c r="O32" s="6">
        <f>K32*M32</f>
        <v>0.0</v>
      </c>
      <c r="P32" s="6">
        <f>O32-N32</f>
        <v>0.0</v>
      </c>
      <c r="Q32" s="5" t="n">
        <v>0</v>
      </c>
    </row>
    <row r="33">
      <c r="A33" s="17" t="inlineStr">
        <is>
          <t>TOTAL</t>
        </is>
      </c>
      <c r="B33" s="17" t="n"/>
      <c r="C33" s="17" t="n"/>
      <c r="D33" s="18">
        <f>SUM(D2:D32)</f>
        <v>1902</v>
      </c>
      <c r="E33" s="18">
        <f>SUM(E2:E32)</f>
        <v>24</v>
      </c>
      <c r="F33" s="18">
        <f>SUM(F2:F32)</f>
        <v>1926</v>
      </c>
      <c r="G33" s="18">
        <f>SUM(G2:G32)</f>
        <v>394</v>
      </c>
      <c r="H33" s="18">
        <f>SUM(H2:H32)</f>
        <v>499</v>
      </c>
      <c r="I33" s="18">
        <f>SUM(I2:I32)</f>
        <v>42</v>
      </c>
      <c r="J33" s="18">
        <f>SUM(J2:J32)</f>
        <v>935</v>
      </c>
      <c r="K33" s="18">
        <f>SUM(K2:K32)</f>
        <v>2861</v>
      </c>
      <c r="L33" s="19" t="n"/>
      <c r="M33" s="19" t="n"/>
      <c r="N33" s="19">
        <f>SUM(N2:N32)</f>
        <v>86009.5</v>
      </c>
      <c r="O33" s="19">
        <f>SUM(O2:O32)</f>
        <v>133236.86</v>
      </c>
      <c r="P33" s="19">
        <f>SUM(P2:P32)</f>
        <v>47227.36</v>
      </c>
      <c r="Q33" s="18">
        <f>SUM(Q2:Q32)</f>
        <v>5045</v>
      </c>
    </row>
  </sheetData>
  <autoFilter ref="A1:Q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2026-10-09T12:56:11Z</dcterms:created>
  <dcterms:modified xsi:type="dcterms:W3CDTF">2026-10-09T12:56:11Z</dcterms:modified>
</cp:coreProperties>
</file>