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Full por SKU" sheetId="2" state="visible" r:id="rId2"/>
  </sheets>
  <definedNames>
    <definedName name="_xlnm._FilterDatabase" localSheetId="1" hidden="1">'Full por SKU'!$A$1:$U$32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;-R$ #,##0.00;&quot;—&quot;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color rgb="FF0000FF"/>
      <sz val="10"/>
    </font>
    <font>
      <name val="Arial"/>
      <b val="1"/>
      <sz val="10"/>
    </font>
    <font>
      <name val="Arial"/>
      <b val="1"/>
      <color rgb="FF0C5B6A"/>
      <sz val="15"/>
    </font>
    <font>
      <name val="Arial"/>
      <i val="1"/>
      <color rgb="FF5D7078"/>
      <sz val="10"/>
    </font>
    <font>
      <name val="Arial"/>
      <color rgb="FF5D7078"/>
      <sz val="9"/>
    </font>
    <font>
      <name val="Arial"/>
      <b val="1"/>
      <color rgb="FF5D7078"/>
      <sz val="9"/>
    </font>
    <font>
      <name val="Arial"/>
      <b val="1"/>
      <color rgb="FF0C5B6A"/>
      <sz val="12"/>
    </font>
  </fonts>
  <fills count="5">
    <fill>
      <patternFill/>
    </fill>
    <fill>
      <patternFill patternType="gray125"/>
    </fill>
    <fill>
      <patternFill patternType="solid">
        <fgColor rgb="FF0C5B6A"/>
      </patternFill>
    </fill>
    <fill>
      <patternFill patternType="solid">
        <fgColor rgb="FFFFF3C4"/>
      </patternFill>
    </fill>
    <fill>
      <patternFill patternType="solid">
        <fgColor rgb="FFF2F5F6"/>
      </patternFill>
    </fill>
  </fills>
  <borders count="3">
    <border>
      <left/>
      <right/>
      <top/>
      <bottom/>
      <diagonal/>
    </border>
    <border>
      <bottom style="thin">
        <color rgb="FFD6E0E4"/>
      </bottom>
    </border>
    <border>
      <top style="medium">
        <color rgb="FF0C5B6A"/>
      </top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7" fillId="0" borderId="1" applyAlignment="1" pivotButton="0" quotePrefix="0" xfId="0">
      <alignment vertical="top" wrapText="1"/>
    </xf>
    <xf numFmtId="0" fontId="4" fillId="4" borderId="1" pivotButton="0" quotePrefix="0" xfId="0"/>
    <xf numFmtId="3" fontId="4" fillId="4" borderId="1" pivotButton="0" quotePrefix="0" xfId="0"/>
    <xf numFmtId="164" fontId="4" fillId="4" borderId="1" pivotButton="0" quotePrefix="0" xfId="0"/>
    <xf numFmtId="0" fontId="8" fillId="4" borderId="1" applyAlignment="1" pivotButton="0" quotePrefix="0" xfId="0">
      <alignment vertical="top" wrapText="1"/>
    </xf>
    <xf numFmtId="0" fontId="9" fillId="0" borderId="0" pivotButton="0" quotePrefix="0" xfId="0"/>
    <xf numFmtId="3" fontId="3" fillId="0" borderId="1" pivotButton="0" quotePrefix="0" xfId="0"/>
    <xf numFmtId="164" fontId="3" fillId="0" borderId="1" pivotButton="0" quotePrefix="0" xfId="0"/>
    <xf numFmtId="165" fontId="2" fillId="0" borderId="1" pivotButton="0" quotePrefix="0" xfId="0"/>
    <xf numFmtId="0" fontId="2" fillId="0" borderId="0" applyAlignment="1" pivotButton="0" quotePrefix="0" xfId="0">
      <alignment vertical="top" wrapText="1"/>
    </xf>
    <xf numFmtId="164" fontId="3" fillId="3" borderId="1" pivotButton="0" quotePrefix="0" xfId="0"/>
    <xf numFmtId="0" fontId="4" fillId="4" borderId="2" pivotButton="0" quotePrefix="0" xfId="0"/>
    <xf numFmtId="3" fontId="4" fillId="4" borderId="2" pivotButton="0" quotePrefix="0" xfId="0"/>
    <xf numFmtId="164" fontId="4" fillId="4" borderId="2" pivotButton="0" quotePrefix="0" xfId="0"/>
    <xf numFmtId="165" fontId="4" fillId="4" borderId="2" pivotButton="0" quotePrefix="0" xfId="0"/>
  </cellXfs>
  <cellStyles count="1">
    <cellStyle name="Normal" xfId="0" builtinId="0" hidden="0"/>
  </cellStyles>
  <dxfs count="2">
    <dxf>
      <font>
        <name val="Arial"/>
        <b val="1"/>
        <color rgb="FFAF2B23"/>
        <sz val="10"/>
      </font>
      <fill>
        <patternFill patternType="solid">
          <fgColor rgb="FFFAE6E4"/>
        </patternFill>
      </fill>
    </dxf>
    <dxf>
      <font>
        <name val="Arial"/>
        <b val="1"/>
        <color rgb="FF9D5C05"/>
        <sz val="10"/>
      </font>
      <fill>
        <patternFill patternType="solid">
          <fgColor rgb="FFFBEE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Estoque Vivo</author>
  </authors>
  <commentList>
    <comment ref="B14" authorId="0" shapeId="0">
      <text>
        <t>Número copiado do app Estoque Vivo (não é fórmula).</t>
      </text>
    </comment>
    <comment ref="C14" authorId="0" shapeId="0">
      <text>
        <t>Número copiado do app Estoque Vivo (não é fórmula).</t>
      </text>
    </comment>
    <comment ref="D14" authorId="0" shapeId="0">
      <text>
        <t>Número copiado do app Estoque Vivo (não é fórmula).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20" customWidth="1" min="4" max="4"/>
    <col width="18" customWidth="1" min="5" max="5"/>
    <col width="60" customWidth="1" min="6" max="6"/>
  </cols>
  <sheetData>
    <row r="1">
      <c r="A1" s="1" t="inlineStr">
        <is>
          <t>Mercado Livre Full — posição de 25/09/2026</t>
        </is>
      </c>
    </row>
    <row r="2">
      <c r="A2" s="2" t="inlineStr">
        <is>
          <t>Fonte: relatório de estoque Full do Mercado Livre + custo e preço de venda líquido do seu catálogo (app Estoque Vivo).</t>
        </is>
      </c>
    </row>
    <row r="4" ht="30" customHeight="1">
      <c r="A4" s="3" t="inlineStr">
        <is>
          <t>Situação no Mercado Livre</t>
        </is>
      </c>
      <c r="B4" s="3" t="inlineStr">
        <is>
          <t>Unidades</t>
        </is>
      </c>
      <c r="C4" s="3" t="inlineStr">
        <is>
          <t>Custo parado (R$)</t>
        </is>
      </c>
      <c r="D4" s="3" t="inlineStr">
        <is>
          <t>Receita projetada (R$)</t>
        </is>
      </c>
      <c r="E4" s="3" t="inlineStr">
        <is>
          <t>Margem projetada (R$)</t>
        </is>
      </c>
      <c r="F4" s="3" t="inlineStr">
        <is>
          <t>O que significa</t>
        </is>
      </c>
    </row>
    <row r="5">
      <c r="A5" s="4" t="inlineStr">
        <is>
          <t>Aptas para venda</t>
        </is>
      </c>
      <c r="B5" s="5">
        <f>SUM('Full por SKU'!D2:D32)</f>
        <v>1587</v>
      </c>
      <c r="C5" s="6">
        <f>SUMPRODUCT('Full por SKU'!D2:D32,'Full por SKU'!J2:J32)</f>
        <v>37214.5</v>
      </c>
      <c r="D5" s="6">
        <f>SUMPRODUCT('Full por SKU'!D2:D32,'Full por SKU'!K2:K32)</f>
        <v>63694.19</v>
      </c>
      <c r="E5" s="6">
        <f>D5-C5</f>
        <v>26479.69</v>
      </c>
      <c r="F5" s="7" t="inlineStr">
        <is>
          <t>Já estão no Full e à venda.</t>
        </is>
      </c>
    </row>
    <row r="6">
      <c r="A6" s="4" t="inlineStr">
        <is>
          <t>Em transferência entre galpões do ML</t>
        </is>
      </c>
      <c r="B6" s="5">
        <f>SUM('Full por SKU'!E2:E32)</f>
        <v>72</v>
      </c>
      <c r="C6" s="6">
        <f>SUMPRODUCT('Full por SKU'!E2:E32,'Full por SKU'!J2:J32)</f>
        <v>1570.5</v>
      </c>
      <c r="D6" s="6">
        <f>SUMPRODUCT('Full por SKU'!E2:E32,'Full por SKU'!K2:K32)</f>
        <v>2760.32</v>
      </c>
      <c r="E6" s="6">
        <f>D6-C6</f>
        <v>1189.82</v>
      </c>
      <c r="F6" s="7" t="inlineStr">
        <is>
          <t>Dentro do Full, mudando de um galpão do ML para outro.</t>
        </is>
      </c>
    </row>
    <row r="7">
      <c r="A7" s="4" t="inlineStr">
        <is>
          <t>Temporariamente não aptas</t>
        </is>
      </c>
      <c r="B7" s="5">
        <f>SUM('Full por SKU'!F2:F32)</f>
        <v>1</v>
      </c>
      <c r="C7" s="6">
        <f>SUMPRODUCT('Full por SKU'!F2:F32,'Full por SKU'!J2:J32)</f>
        <v>7.0</v>
      </c>
      <c r="D7" s="6">
        <f>SUMPRODUCT('Full por SKU'!F2:F32,'Full por SKU'!K2:K32)</f>
        <v>10.3</v>
      </c>
      <c r="E7" s="6">
        <f>D7-C7</f>
        <v>3.3</v>
      </c>
      <c r="F7" s="7" t="inlineStr">
        <is>
          <t>Extraviadas, em revisão ou de vendas canceladas.</t>
        </is>
      </c>
    </row>
    <row r="8">
      <c r="A8" s="8" t="inlineStr">
        <is>
          <t>TOTAL NO FULL</t>
        </is>
      </c>
      <c r="B8" s="9">
        <f>SUM(B5:B7)</f>
        <v>1660</v>
      </c>
      <c r="C8" s="10">
        <f>SUM(C5:C7)</f>
        <v>38792.0</v>
      </c>
      <c r="D8" s="10">
        <f>SUM(D5:D7)</f>
        <v>66464.81</v>
      </c>
      <c r="E8" s="10">
        <f>SUM(E5:E7)</f>
        <v>27672.81</v>
      </c>
      <c r="F8" s="11" t="inlineStr">
        <is>
          <t>Dinheiro parado dentro dos galpões do Mercado Livre.</t>
        </is>
      </c>
    </row>
    <row r="9">
      <c r="A9" s="4" t="inlineStr">
        <is>
          <t>A caminho do Full (entrada pendente)</t>
        </is>
      </c>
      <c r="B9" s="5">
        <f>SUM('Full por SKU'!H2:H32)</f>
        <v>648</v>
      </c>
      <c r="C9" s="6">
        <f>SUMPRODUCT('Full por SKU'!H2:H32,'Full por SKU'!J2:J32)</f>
        <v>23450.0</v>
      </c>
      <c r="D9" s="6">
        <f>SUMPRODUCT('Full por SKU'!H2:H32,'Full por SKU'!K2:K32)</f>
        <v>38001.45</v>
      </c>
      <c r="E9" s="6">
        <f>D9-C9</f>
        <v>14551.45</v>
      </c>
      <c r="F9" s="7" t="inlineStr">
        <is>
          <t>Envios que o ML ainda não recebeu. Saíram do galpão antes da contagem de 18/09, então o app já não conta essas peças.</t>
        </is>
      </c>
    </row>
    <row r="10">
      <c r="A10" s="4" t="inlineStr">
        <is>
          <t>Devoluções voltando ao Full</t>
        </is>
      </c>
      <c r="B10" s="5">
        <f>SUM('Full por SKU'!I2:I32)</f>
        <v>34</v>
      </c>
      <c r="C10" s="6">
        <f>SUMPRODUCT('Full por SKU'!I2:I32,'Full por SKU'!J2:J32)</f>
        <v>1480.0</v>
      </c>
      <c r="D10" s="6">
        <f>SUMPRODUCT('Full por SKU'!I2:I32,'Full por SKU'!K2:K32)</f>
        <v>2259.47</v>
      </c>
      <c r="E10" s="6">
        <f>D10-C10</f>
        <v>779.47</v>
      </c>
      <c r="F10" s="7" t="inlineStr">
        <is>
          <t>Vendas devolvidas a caminho do Full. Podem voltar avariadas: o valor é o máximo.</t>
        </is>
      </c>
    </row>
    <row r="12">
      <c r="A12" s="12" t="inlineStr">
        <is>
          <t>Visão da empresa</t>
        </is>
      </c>
    </row>
    <row r="13" ht="30" customHeight="1">
      <c r="A13" s="3" t="inlineStr">
        <is>
          <t>Onde está</t>
        </is>
      </c>
      <c r="B13" s="3" t="inlineStr">
        <is>
          <t>Unidades</t>
        </is>
      </c>
      <c r="C13" s="3" t="inlineStr">
        <is>
          <t>Custo parado (R$)</t>
        </is>
      </c>
      <c r="D13" s="3" t="inlineStr">
        <is>
          <t>Receita projetada (R$)</t>
        </is>
      </c>
      <c r="E13" s="3" t="inlineStr">
        <is>
          <t>Margem projetada (R$)</t>
        </is>
      </c>
      <c r="F13" s="3" t="inlineStr">
        <is>
          <t>Observação</t>
        </is>
      </c>
    </row>
    <row r="14">
      <c r="A14" s="4" t="inlineStr">
        <is>
          <t>Seu galpão (app Estoque Vivo)</t>
        </is>
      </c>
      <c r="B14" s="13" t="n">
        <v>6474</v>
      </c>
      <c r="C14" s="14" t="n">
        <v>120348.5</v>
      </c>
      <c r="D14" s="14" t="n">
        <v>203232.24</v>
      </c>
      <c r="E14" s="6">
        <f>D14-C14</f>
        <v>82883.74</v>
      </c>
      <c r="F14" s="7" t="inlineStr">
        <is>
          <t>Números do app em 25/09/2026. Sem preço de venda: 2900, 8566 STD, 9403 STD.</t>
        </is>
      </c>
    </row>
    <row r="15">
      <c r="A15" s="4" t="inlineStr">
        <is>
          <t>Dentro do Full</t>
        </is>
      </c>
      <c r="B15" s="5">
        <f>B8</f>
        <v>1660</v>
      </c>
      <c r="C15" s="6">
        <f>C8</f>
        <v>38792.0</v>
      </c>
      <c r="D15" s="6">
        <f>D8</f>
        <v>66464.81</v>
      </c>
      <c r="E15" s="6">
        <f>E8</f>
        <v>27672.81</v>
      </c>
      <c r="F15" s="7" t="inlineStr">
        <is>
          <t>Total no Full, da tabela acima.</t>
        </is>
      </c>
    </row>
    <row r="16">
      <c r="A16" s="4" t="inlineStr">
        <is>
          <t>A caminho do Full</t>
        </is>
      </c>
      <c r="B16" s="5">
        <f>B9</f>
        <v>648</v>
      </c>
      <c r="C16" s="6">
        <f>C9</f>
        <v>23450.0</v>
      </c>
      <c r="D16" s="6">
        <f>D9</f>
        <v>38001.45</v>
      </c>
      <c r="E16" s="6">
        <f>E9</f>
        <v>14551.45</v>
      </c>
      <c r="F16" s="7" t="inlineStr"/>
    </row>
    <row r="17">
      <c r="A17" s="4" t="inlineStr">
        <is>
          <t>Devoluções voltando ao Full</t>
        </is>
      </c>
      <c r="B17" s="5">
        <f>B10</f>
        <v>34</v>
      </c>
      <c r="C17" s="6">
        <f>C10</f>
        <v>1480.0</v>
      </c>
      <c r="D17" s="6">
        <f>D10</f>
        <v>2259.47</v>
      </c>
      <c r="E17" s="6">
        <f>E10</f>
        <v>779.47</v>
      </c>
      <c r="F17" s="7" t="inlineStr"/>
    </row>
    <row r="18">
      <c r="A18" s="8" t="inlineStr">
        <is>
          <t>TOTAL DA EMPRESA</t>
        </is>
      </c>
      <c r="B18" s="9">
        <f>SUM(B14:B17)</f>
        <v>8816</v>
      </c>
      <c r="C18" s="10">
        <f>SUM(C14:C17)</f>
        <v>184070.5</v>
      </c>
      <c r="D18" s="10">
        <f>SUM(D14:D17)</f>
        <v>309957.97</v>
      </c>
      <c r="E18" s="10">
        <f>SUM(E14:E17)</f>
        <v>125887.47</v>
      </c>
      <c r="F18" s="11" t="inlineStr">
        <is>
          <t>Tudo o que é seu: galpão, Full, a caminho e devoluções.</t>
        </is>
      </c>
    </row>
    <row r="20">
      <c r="A20" s="12" t="inlineStr">
        <is>
          <t>Referência do Mercado Livre — últimos 30 dias</t>
        </is>
      </c>
    </row>
    <row r="21">
      <c r="A21" s="4" t="inlineStr">
        <is>
          <t>Vendas no ML (R$, bruto)</t>
        </is>
      </c>
      <c r="B21" s="6">
        <f>SUM('Full por SKU'!P2:P32)</f>
        <v>177383.28</v>
      </c>
      <c r="C21" s="6" t="n"/>
      <c r="D21" s="6" t="n"/>
      <c r="E21" s="6" t="n"/>
      <c r="F21" s="7" t="inlineStr">
        <is>
          <t>Valor de venda registrado pelo ML, antes das tarifas.</t>
        </is>
      </c>
    </row>
    <row r="22">
      <c r="A22" s="4" t="inlineStr">
        <is>
          <t>Unidades vendidas</t>
        </is>
      </c>
      <c r="B22" s="5">
        <f>SUM('Full por SKU'!O2:O32)</f>
        <v>2563</v>
      </c>
      <c r="C22" s="6" t="n"/>
      <c r="D22" s="6" t="n"/>
      <c r="E22" s="6" t="n"/>
      <c r="F22" s="7" t="inlineStr"/>
    </row>
    <row r="23">
      <c r="A23" s="4" t="inlineStr">
        <is>
          <t>Ticket médio no ML (R$)</t>
        </is>
      </c>
      <c r="B23" s="6">
        <f>IF(B22&gt;0,B21/B22,0)</f>
        <v>69.20923917284432</v>
      </c>
      <c r="C23" s="6" t="n"/>
      <c r="D23" s="6" t="n"/>
      <c r="E23" s="6" t="n"/>
      <c r="F23" s="7" t="inlineStr">
        <is>
          <t>Preço médio de venda no ML por unidade.</t>
        </is>
      </c>
    </row>
    <row r="24">
      <c r="A24" s="4" t="inlineStr">
        <is>
          <t>De cada R$ 100 vendidos no ML, você recebe</t>
        </is>
      </c>
      <c r="B24" s="6">
        <f>IF(B21&gt;0,SUMPRODUCT('Full por SKU'!O2:O32,'Full por SKU'!K2:K32)/B21*100,0)</f>
        <v>72.06569300105399</v>
      </c>
      <c r="C24" s="6" t="n"/>
      <c r="D24" s="6" t="n"/>
      <c r="E24" s="6" t="n"/>
      <c r="F24" s="7" t="inlineStr">
        <is>
          <t>Estimativa: unidades vendidas × seu preço líquido ÷ vendas brutas. O resto são tarifas e frete do ML.</t>
        </is>
      </c>
    </row>
    <row r="25">
      <c r="A25" s="4" t="inlineStr">
        <is>
          <t>Estoque do Full pelo ticket médio do ML (R$, bruto)</t>
        </is>
      </c>
      <c r="B25" s="6">
        <f>SUMPRODUCT('Full por SKU'!G2:G32,'Full por SKU'!Q2:Q32)</f>
        <v>97148.16</v>
      </c>
      <c r="C25" s="6" t="n"/>
      <c r="D25" s="6" t="n"/>
      <c r="E25" s="6" t="n"/>
      <c r="F25" s="7" t="inlineStr">
        <is>
          <t>Quanto o estoque do Full faturaria no ML pelo preço médio do último mês, antes das tarifas.</t>
        </is>
      </c>
    </row>
    <row r="26">
      <c r="A26" s="4" t="inlineStr">
        <is>
          <t>Cobertura média do Full (dias)</t>
        </is>
      </c>
      <c r="B26" s="15">
        <f>IF(B22&gt;0,ROUND((B5+B6)/(B22/30),1),0)</f>
        <v>19.4</v>
      </c>
      <c r="C26" s="6" t="n"/>
      <c r="D26" s="6" t="n"/>
      <c r="E26" s="6" t="n"/>
      <c r="F26" s="7" t="inlineStr">
        <is>
          <t>Quantos dias o estoque do Full dura no ritmo de venda atual.</t>
        </is>
      </c>
    </row>
    <row r="28">
      <c r="A28" s="12" t="inlineStr">
        <is>
          <t>Alertas de reposição (aba Full por SKU)</t>
        </is>
      </c>
    </row>
    <row r="29">
      <c r="A29" s="4" t="inlineStr">
        <is>
          <t>Urgência "Urgente"</t>
        </is>
      </c>
      <c r="B29" s="5">
        <f>COUNTIF('Full por SKU'!S2:S32,"Urgente")</f>
        <v>1</v>
      </c>
      <c r="C29" s="6" t="n"/>
      <c r="D29" s="6" t="n"/>
      <c r="E29" s="6" t="n"/>
      <c r="F29" s="7" t="inlineStr">
        <is>
          <t>Status que o próprio ML calcula para cada anúncio.</t>
        </is>
      </c>
    </row>
    <row r="30">
      <c r="A30" s="4" t="inlineStr">
        <is>
          <t>Urgência "Esta semana"</t>
        </is>
      </c>
      <c r="B30" s="5">
        <f>COUNTIF('Full por SKU'!S2:S32,"Esta semana")</f>
        <v>3</v>
      </c>
      <c r="C30" s="6" t="n"/>
      <c r="D30" s="6" t="n"/>
      <c r="E30" s="6" t="n"/>
      <c r="F30" s="7" t="inlineStr"/>
    </row>
    <row r="31">
      <c r="A31" s="4" t="inlineStr">
        <is>
          <t>Urgência "Próxima semana"</t>
        </is>
      </c>
      <c r="B31" s="5">
        <f>COUNTIF('Full por SKU'!S2:S32,"Próxima semana")</f>
        <v>2</v>
      </c>
      <c r="C31" s="6" t="n"/>
      <c r="D31" s="6" t="n"/>
      <c r="E31" s="6" t="n"/>
      <c r="F31" s="7" t="inlineStr"/>
    </row>
    <row r="32">
      <c r="A32" s="4" t="inlineStr">
        <is>
          <t>Estoque "Excedente" no Full</t>
        </is>
      </c>
      <c r="B32" s="5">
        <f>COUNTIF('Full por SKU'!S2:S32,"Excedente")</f>
        <v>2</v>
      </c>
      <c r="C32" s="6" t="n"/>
      <c r="D32" s="6" t="n"/>
      <c r="E32" s="6" t="n"/>
      <c r="F32" s="7" t="inlineStr">
        <is>
          <t>O ML considera que há estoque demais. Pode gerar tarifa de armazenagem.</t>
        </is>
      </c>
    </row>
    <row r="33">
      <c r="A33" s="4" t="inlineStr">
        <is>
          <t>SKUs com menos de 7 dias de cobertura</t>
        </is>
      </c>
      <c r="B33" s="5">
        <f>COUNTIF('Full por SKU'!R2:R32,"&lt;7")</f>
        <v>4</v>
      </c>
      <c r="C33" s="6" t="n"/>
      <c r="D33" s="6" t="n"/>
      <c r="E33" s="6" t="n"/>
      <c r="F33" s="7" t="inlineStr"/>
    </row>
    <row r="35">
      <c r="A35" s="12" t="inlineStr">
        <is>
          <t>Como ler</t>
        </is>
      </c>
    </row>
    <row r="36" ht="30" customHeight="1">
      <c r="A36" s="16" t="inlineStr">
        <is>
          <t>• Receita projetada = unidades × seu preço de venda líquido (o que você recebe por peça, já sem as tarifas do ML). Custo parado = unidades × custo. Margem = receita − custo.</t>
        </is>
      </c>
    </row>
    <row r="37" ht="30" customHeight="1">
      <c r="A37" s="16" t="inlineStr">
        <is>
          <t>• Custo e preço vêm do seu catálogo (células amarelas da aba Full por SKU). Se mudar um valor ali, o resumo recalcula sozinho.</t>
        </is>
      </c>
    </row>
    <row r="38" ht="30" customHeight="1">
      <c r="A38" s="16" t="inlineStr">
        <is>
          <t>• A caminho do Full: saíram do galpão antes da contagem de 18/09. O 5801 e o 5245 confirmam isso: o galpão nunca teve essas quantidades depois da contagem. Por isso somam no total da empresa sem contar duas vezes.</t>
        </is>
      </c>
    </row>
    <row r="39" ht="30" customHeight="1">
      <c r="A39" s="16" t="inlineStr">
        <is>
          <t>• Devoluções: o ML conta 682 unidades em entrada pendente na coluna de espaço ocupado e 648 na coluna "a caminho". A diferença (34) são devoluções de clientes voltando ao Full.</t>
        </is>
      </c>
    </row>
    <row r="40" ht="30" customHeight="1">
      <c r="A40" s="16" t="inlineStr">
        <is>
          <t>• Cobertura = (aptas + em transferência) ÷ venda diária dos últimos 30 dias. Vermelho abaixo de 7 dias, laranja acima de 90.</t>
        </is>
      </c>
    </row>
  </sheetData>
  <mergeCells count="5">
    <mergeCell ref="A38:F38"/>
    <mergeCell ref="A36:F36"/>
    <mergeCell ref="A37:F37"/>
    <mergeCell ref="A40:F40"/>
    <mergeCell ref="A39:F39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3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1" customWidth="1" min="2" max="2"/>
    <col width="44" customWidth="1" min="3" max="3"/>
    <col width="10" customWidth="1" min="4" max="4"/>
    <col width="11" customWidth="1" min="5" max="5"/>
    <col width="8" customWidth="1" min="6" max="6"/>
    <col width="9" customWidth="1" min="7" max="7"/>
    <col width="10" customWidth="1" min="8" max="8"/>
    <col width="11" customWidth="1" min="9" max="9"/>
    <col width="11" customWidth="1" min="10" max="10"/>
    <col width="11" customWidth="1" min="11" max="11"/>
    <col width="14" customWidth="1" min="12" max="12"/>
    <col width="14" customWidth="1" min="13" max="13"/>
    <col width="14" customWidth="1" min="14" max="14"/>
    <col width="9" customWidth="1" min="15" max="15"/>
    <col width="14" customWidth="1" min="16" max="16"/>
    <col width="11" customWidth="1" min="17" max="17"/>
    <col width="10" customWidth="1" min="18" max="18"/>
    <col width="14" customWidth="1" min="19" max="19"/>
    <col width="9" customWidth="1" min="20" max="20"/>
    <col width="10" customWidth="1" min="21" max="21"/>
  </cols>
  <sheetData>
    <row r="1" ht="44" customHeight="1">
      <c r="A1" s="3" t="inlineStr">
        <is>
          <t>SKU no ML</t>
        </is>
      </c>
      <c r="B1" s="3" t="inlineStr">
        <is>
          <t>Código</t>
        </is>
      </c>
      <c r="C1" s="3" t="inlineStr">
        <is>
          <t>Produto</t>
        </is>
      </c>
      <c r="D1" s="3" t="inlineStr">
        <is>
          <t>Aptas para venda</t>
        </is>
      </c>
      <c r="E1" s="3" t="inlineStr">
        <is>
          <t>Em transferência</t>
        </is>
      </c>
      <c r="F1" s="3" t="inlineStr">
        <is>
          <t>Não aptas</t>
        </is>
      </c>
      <c r="G1" s="3" t="inlineStr">
        <is>
          <t>Total no Full</t>
        </is>
      </c>
      <c r="H1" s="3" t="inlineStr">
        <is>
          <t>A caminho do Full</t>
        </is>
      </c>
      <c r="I1" s="3" t="inlineStr">
        <is>
          <t>Devoluções voltando</t>
        </is>
      </c>
      <c r="J1" s="3" t="inlineStr">
        <is>
          <t>Custo unit. (R$)</t>
        </is>
      </c>
      <c r="K1" s="3" t="inlineStr">
        <is>
          <t>Preço venda líquido (R$)</t>
        </is>
      </c>
      <c r="L1" s="3" t="inlineStr">
        <is>
          <t>Custo parado no Full (R$)</t>
        </is>
      </c>
      <c r="M1" s="3" t="inlineStr">
        <is>
          <t>Receita projetada (R$)</t>
        </is>
      </c>
      <c r="N1" s="3" t="inlineStr">
        <is>
          <t>Margem projetada (R$)</t>
        </is>
      </c>
      <c r="O1" s="3" t="inlineStr">
        <is>
          <t>Vendidas 30 dias</t>
        </is>
      </c>
      <c r="P1" s="3" t="inlineStr">
        <is>
          <t>Vendas 30 dias no ML (R$)</t>
        </is>
      </c>
      <c r="Q1" s="3" t="inlineStr">
        <is>
          <t>Ticket médio no ML (R$)</t>
        </is>
      </c>
      <c r="R1" s="3" t="inlineStr">
        <is>
          <t>Cobertura (dias)</t>
        </is>
      </c>
      <c r="S1" s="3" t="inlineStr">
        <is>
          <t>Urgência de envio (ML)</t>
        </is>
      </c>
      <c r="T1" s="3" t="inlineStr">
        <is>
          <t>ML sugere enviar</t>
        </is>
      </c>
      <c r="U1" s="3" t="inlineStr">
        <is>
          <t>No seu galpão (app)</t>
        </is>
      </c>
    </row>
    <row r="2">
      <c r="A2" s="4" t="inlineStr">
        <is>
          <t>8126full</t>
        </is>
      </c>
      <c r="B2" s="4" t="inlineStr">
        <is>
          <t>8126 STD</t>
        </is>
      </c>
      <c r="C2" s="4" t="inlineStr">
        <is>
          <t>Jogo Anel Pistao Std Vw Fox 1.6 8v Ea111 2004 A 2016</t>
        </is>
      </c>
      <c r="D2" s="5" t="n">
        <v>105</v>
      </c>
      <c r="E2" s="5" t="n">
        <v>2</v>
      </c>
      <c r="F2" s="5" t="n">
        <v>0</v>
      </c>
      <c r="G2" s="5">
        <f>D2+E2+F2</f>
        <v>107</v>
      </c>
      <c r="H2" s="5" t="n">
        <v>0</v>
      </c>
      <c r="I2" s="5" t="n">
        <v>0</v>
      </c>
      <c r="J2" s="17" t="n">
        <v>75</v>
      </c>
      <c r="K2" s="17" t="n">
        <v>142.25</v>
      </c>
      <c r="L2" s="6">
        <f>G2*J2</f>
        <v>8025</v>
      </c>
      <c r="M2" s="6">
        <f>G2*K2</f>
        <v>15220.75</v>
      </c>
      <c r="N2" s="6">
        <f>M2-L2</f>
        <v>7195.75</v>
      </c>
      <c r="O2" s="5" t="n">
        <v>45</v>
      </c>
      <c r="P2" s="6" t="n">
        <v>8237.93</v>
      </c>
      <c r="Q2" s="6">
        <f>IF(O2&gt;0,P2/O2,0)</f>
        <v>183.06511111111112</v>
      </c>
      <c r="R2" s="15">
        <f>IF(O2&gt;0,ROUND((D2+E2)/(O2/30),1),"")</f>
        <v>71.3</v>
      </c>
      <c r="S2" s="4" t="inlineStr">
        <is>
          <t>Sem urgência</t>
        </is>
      </c>
      <c r="T2" s="5" t="n">
        <v>0</v>
      </c>
      <c r="U2" s="5" t="n">
        <v>289</v>
      </c>
    </row>
    <row r="3">
      <c r="A3" s="4" t="inlineStr">
        <is>
          <t>5338full</t>
        </is>
      </c>
      <c r="B3" s="4" t="inlineStr">
        <is>
          <t>5338</t>
        </is>
      </c>
      <c r="C3" s="4" t="inlineStr">
        <is>
          <t>Retentor Traseiro Virabrequim Fiesta Ka Sabó 5338 Zetec</t>
        </is>
      </c>
      <c r="D3" s="5" t="n">
        <v>82</v>
      </c>
      <c r="E3" s="5" t="n">
        <v>5</v>
      </c>
      <c r="F3" s="5" t="n">
        <v>0</v>
      </c>
      <c r="G3" s="5">
        <f>D3+E3+F3</f>
        <v>87</v>
      </c>
      <c r="H3" s="5" t="n">
        <v>60</v>
      </c>
      <c r="I3" s="5" t="n">
        <v>3</v>
      </c>
      <c r="J3" s="17" t="n">
        <v>60</v>
      </c>
      <c r="K3" s="17" t="n">
        <v>88.68000000000001</v>
      </c>
      <c r="L3" s="6">
        <f>G3*J3</f>
        <v>5220</v>
      </c>
      <c r="M3" s="6">
        <f>G3*K3</f>
        <v>7715.16</v>
      </c>
      <c r="N3" s="6">
        <f>M3-L3</f>
        <v>2495.16</v>
      </c>
      <c r="O3" s="5" t="n">
        <v>129</v>
      </c>
      <c r="P3" s="6" t="n">
        <v>15809.42</v>
      </c>
      <c r="Q3" s="6">
        <f>IF(O3&gt;0,P3/O3,0)</f>
        <v>122.55364341085271</v>
      </c>
      <c r="R3" s="15">
        <f>IF(O3&gt;0,ROUND((D3+E3)/(O3/30),1),"")</f>
        <v>20.2</v>
      </c>
      <c r="S3" s="4" t="inlineStr">
        <is>
          <t>Sem urgência</t>
        </is>
      </c>
      <c r="T3" s="5" t="n">
        <v>0</v>
      </c>
      <c r="U3" s="5" t="n">
        <v>122</v>
      </c>
    </row>
    <row r="4">
      <c r="A4" s="4" t="inlineStr">
        <is>
          <t>5245full</t>
        </is>
      </c>
      <c r="B4" s="4" t="inlineStr">
        <is>
          <t>5245</t>
        </is>
      </c>
      <c r="C4" s="4" t="inlineStr">
        <is>
          <t>Retentor Volante Traseiro Palio Fiat Fire 1.0/1.3l 8v Sabó</t>
        </is>
      </c>
      <c r="D4" s="5" t="n">
        <v>83</v>
      </c>
      <c r="E4" s="5" t="n">
        <v>1</v>
      </c>
      <c r="F4" s="5" t="n">
        <v>0</v>
      </c>
      <c r="G4" s="5">
        <f>D4+E4+F4</f>
        <v>84</v>
      </c>
      <c r="H4" s="5" t="n">
        <v>63</v>
      </c>
      <c r="I4" s="5" t="n">
        <v>9</v>
      </c>
      <c r="J4" s="17" t="n">
        <v>55</v>
      </c>
      <c r="K4" s="17" t="n">
        <v>68.34999999999999</v>
      </c>
      <c r="L4" s="6">
        <f>G4*J4</f>
        <v>4620</v>
      </c>
      <c r="M4" s="6">
        <f>G4*K4</f>
        <v>5741.4</v>
      </c>
      <c r="N4" s="6">
        <f>M4-L4</f>
        <v>1121.4</v>
      </c>
      <c r="O4" s="5" t="n">
        <v>347</v>
      </c>
      <c r="P4" s="6" t="n">
        <v>32636.71</v>
      </c>
      <c r="Q4" s="6">
        <f>IF(O4&gt;0,P4/O4,0)</f>
        <v>94.05391930835735</v>
      </c>
      <c r="R4" s="15">
        <f>IF(O4&gt;0,ROUND((D4+E4)/(O4/30),1),"")</f>
        <v>7.3</v>
      </c>
      <c r="S4" s="4" t="inlineStr">
        <is>
          <t>Esta semana</t>
        </is>
      </c>
      <c r="T4" s="5" t="n">
        <v>0</v>
      </c>
      <c r="U4" s="5" t="n">
        <v>50</v>
      </c>
    </row>
    <row r="5">
      <c r="A5" s="4" t="inlineStr">
        <is>
          <t>7092</t>
        </is>
      </c>
      <c r="B5" s="4" t="inlineStr">
        <is>
          <t>7092</t>
        </is>
      </c>
      <c r="C5" s="4" t="inlineStr">
        <is>
          <t>Jogo Aneis Pistao Std Chevrolet Corsa 1.0 8v De 1994 A 2006</t>
        </is>
      </c>
      <c r="D5" s="5" t="n">
        <v>37</v>
      </c>
      <c r="E5" s="5" t="n">
        <v>0</v>
      </c>
      <c r="F5" s="5" t="n">
        <v>0</v>
      </c>
      <c r="G5" s="5">
        <f>D5+E5+F5</f>
        <v>37</v>
      </c>
      <c r="H5" s="5" t="n">
        <v>0</v>
      </c>
      <c r="I5" s="5" t="n">
        <v>0</v>
      </c>
      <c r="J5" s="17" t="n">
        <v>75</v>
      </c>
      <c r="K5" s="17" t="n">
        <v>127.94</v>
      </c>
      <c r="L5" s="6">
        <f>G5*J5</f>
        <v>2775</v>
      </c>
      <c r="M5" s="6">
        <f>G5*K5</f>
        <v>4733.78</v>
      </c>
      <c r="N5" s="6">
        <f>M5-L5</f>
        <v>1958.78</v>
      </c>
      <c r="O5" s="5" t="n">
        <v>30</v>
      </c>
      <c r="P5" s="6" t="n">
        <v>4641.9</v>
      </c>
      <c r="Q5" s="6">
        <f>IF(O5&gt;0,P5/O5,0)</f>
        <v>154.73</v>
      </c>
      <c r="R5" s="15">
        <f>IF(O5&gt;0,ROUND((D5+E5)/(O5/30),1),"")</f>
        <v>37.0</v>
      </c>
      <c r="S5" s="4" t="inlineStr">
        <is>
          <t>Sem urgência</t>
        </is>
      </c>
      <c r="T5" s="5" t="n">
        <v>0</v>
      </c>
      <c r="U5" s="5" t="n">
        <v>22</v>
      </c>
    </row>
    <row r="6">
      <c r="A6" s="4" t="inlineStr">
        <is>
          <t>5159full</t>
        </is>
      </c>
      <c r="B6" s="4" t="inlineStr">
        <is>
          <t>5159</t>
        </is>
      </c>
      <c r="C6" s="4" t="inlineStr">
        <is>
          <t>Retentor Eixo Comando Gol Power Motor Ea111 8 Válvulas 5159</t>
        </is>
      </c>
      <c r="D6" s="5" t="n">
        <v>281</v>
      </c>
      <c r="E6" s="5" t="n">
        <v>0</v>
      </c>
      <c r="F6" s="5" t="n">
        <v>0</v>
      </c>
      <c r="G6" s="5">
        <f>D6+E6+F6</f>
        <v>281</v>
      </c>
      <c r="H6" s="5" t="n">
        <v>0</v>
      </c>
      <c r="I6" s="5" t="n">
        <v>0</v>
      </c>
      <c r="J6" s="17" t="n">
        <v>8</v>
      </c>
      <c r="K6" s="17" t="n">
        <v>13.36</v>
      </c>
      <c r="L6" s="6">
        <f>G6*J6</f>
        <v>2248</v>
      </c>
      <c r="M6" s="6">
        <f>G6*K6</f>
        <v>3754.16</v>
      </c>
      <c r="N6" s="6">
        <f>M6-L6</f>
        <v>1506.16</v>
      </c>
      <c r="O6" s="5" t="n">
        <v>72</v>
      </c>
      <c r="P6" s="6" t="n">
        <v>2047.09</v>
      </c>
      <c r="Q6" s="6">
        <f>IF(O6&gt;0,P6/O6,0)</f>
        <v>28.431805555555556</v>
      </c>
      <c r="R6" s="15">
        <f>IF(O6&gt;0,ROUND((D6+E6)/(O6/30),1),"")</f>
        <v>117.1</v>
      </c>
      <c r="S6" s="4" t="inlineStr">
        <is>
          <t>Excedente</t>
        </is>
      </c>
      <c r="T6" s="5" t="n">
        <v>0</v>
      </c>
      <c r="U6" s="5" t="n">
        <v>892</v>
      </c>
    </row>
    <row r="7">
      <c r="A7" s="4" t="inlineStr">
        <is>
          <t>5699full</t>
        </is>
      </c>
      <c r="B7" s="4" t="inlineStr">
        <is>
          <t>5699</t>
        </is>
      </c>
      <c r="C7" s="4" t="inlineStr">
        <is>
          <t>Retentor Do Volante Liso Vw Fox 1.0 8v At Power 2001 A 2007</t>
        </is>
      </c>
      <c r="D7" s="5" t="n">
        <v>20</v>
      </c>
      <c r="E7" s="5" t="n">
        <v>3</v>
      </c>
      <c r="F7" s="5" t="n">
        <v>0</v>
      </c>
      <c r="G7" s="5">
        <f>D7+E7+F7</f>
        <v>23</v>
      </c>
      <c r="H7" s="5" t="n">
        <v>0</v>
      </c>
      <c r="I7" s="5" t="n">
        <v>0</v>
      </c>
      <c r="J7" s="17" t="n">
        <v>95</v>
      </c>
      <c r="K7" s="17" t="n">
        <v>231.86</v>
      </c>
      <c r="L7" s="6">
        <f>G7*J7</f>
        <v>2185</v>
      </c>
      <c r="M7" s="6">
        <f>G7*K7</f>
        <v>5332.78</v>
      </c>
      <c r="N7" s="6">
        <f>M7-L7</f>
        <v>3147.78</v>
      </c>
      <c r="O7" s="5" t="n">
        <v>17</v>
      </c>
      <c r="P7" s="6" t="n">
        <v>3812.34</v>
      </c>
      <c r="Q7" s="6">
        <f>IF(O7&gt;0,P7/O7,0)</f>
        <v>224.25529411764705</v>
      </c>
      <c r="R7" s="15">
        <f>IF(O7&gt;0,ROUND((D7+E7)/(O7/30),1),"")</f>
        <v>40.6</v>
      </c>
      <c r="S7" s="4" t="inlineStr">
        <is>
          <t>Sem urgência</t>
        </is>
      </c>
      <c r="T7" s="5" t="n">
        <v>0</v>
      </c>
      <c r="U7" s="5" t="n">
        <v>27</v>
      </c>
    </row>
    <row r="8">
      <c r="A8" s="4" t="inlineStr">
        <is>
          <t>9203full</t>
        </is>
      </c>
      <c r="B8" s="4" t="inlineStr">
        <is>
          <t>9203</t>
        </is>
      </c>
      <c r="C8" s="4" t="inlineStr">
        <is>
          <t>Vedadores Haste De Válvula Gol 1.0/1.6 Motor Ea111 6mm 09203</t>
        </is>
      </c>
      <c r="D8" s="5" t="n">
        <v>183</v>
      </c>
      <c r="E8" s="5" t="n">
        <v>18</v>
      </c>
      <c r="F8" s="5" t="n">
        <v>0</v>
      </c>
      <c r="G8" s="5">
        <f>D8+E8+F8</f>
        <v>201</v>
      </c>
      <c r="H8" s="5" t="n">
        <v>0</v>
      </c>
      <c r="I8" s="5" t="n">
        <v>1</v>
      </c>
      <c r="J8" s="17" t="n">
        <v>9</v>
      </c>
      <c r="K8" s="17" t="n">
        <v>13.36</v>
      </c>
      <c r="L8" s="6">
        <f>G8*J8</f>
        <v>1809</v>
      </c>
      <c r="M8" s="6">
        <f>G8*K8</f>
        <v>2685.36</v>
      </c>
      <c r="N8" s="6">
        <f>M8-L8</f>
        <v>876.36</v>
      </c>
      <c r="O8" s="5" t="n">
        <v>292</v>
      </c>
      <c r="P8" s="6" t="n">
        <v>7818.31</v>
      </c>
      <c r="Q8" s="6">
        <f>IF(O8&gt;0,P8/O8,0)</f>
        <v>26.775034246575345</v>
      </c>
      <c r="R8" s="15">
        <f>IF(O8&gt;0,ROUND((D8+E8)/(O8/30),1),"")</f>
        <v>20.7</v>
      </c>
      <c r="S8" s="4" t="inlineStr">
        <is>
          <t>Sem urgência</t>
        </is>
      </c>
      <c r="T8" s="5" t="n">
        <v>0</v>
      </c>
      <c r="U8" s="5" t="n">
        <v>318</v>
      </c>
    </row>
    <row r="9">
      <c r="A9" s="4" t="inlineStr">
        <is>
          <t>5772strada</t>
        </is>
      </c>
      <c r="B9" s="4" t="inlineStr">
        <is>
          <t>5772</t>
        </is>
      </c>
      <c r="C9" s="4" t="inlineStr">
        <is>
          <t>Retentor Traseiro Virabrequim Sabo Fiat Strada Fire 1.4 8v</t>
        </is>
      </c>
      <c r="D9" s="5" t="n">
        <v>26</v>
      </c>
      <c r="E9" s="5" t="n">
        <v>4</v>
      </c>
      <c r="F9" s="5" t="n">
        <v>0</v>
      </c>
      <c r="G9" s="5">
        <f>D9+E9+F9</f>
        <v>30</v>
      </c>
      <c r="H9" s="5" t="n">
        <v>0</v>
      </c>
      <c r="I9" s="5" t="n">
        <v>0</v>
      </c>
      <c r="J9" s="17" t="n">
        <v>50</v>
      </c>
      <c r="K9" s="17" t="n">
        <v>70.29000000000001</v>
      </c>
      <c r="L9" s="6">
        <f>G9*J9</f>
        <v>1500</v>
      </c>
      <c r="M9" s="6">
        <f>G9*K9</f>
        <v>2108.7</v>
      </c>
      <c r="N9" s="6">
        <f>M9-L9</f>
        <v>608.7</v>
      </c>
      <c r="O9" s="5" t="n">
        <v>69</v>
      </c>
      <c r="P9" s="6" t="n">
        <v>6569.76</v>
      </c>
      <c r="Q9" s="6">
        <f>IF(O9&gt;0,P9/O9,0)</f>
        <v>95.21391304347826</v>
      </c>
      <c r="R9" s="15">
        <f>IF(O9&gt;0,ROUND((D9+E9)/(O9/30),1),"")</f>
        <v>13.0</v>
      </c>
      <c r="S9" s="4" t="inlineStr">
        <is>
          <t>Próxima semana</t>
        </is>
      </c>
      <c r="T9" s="5" t="n">
        <v>49</v>
      </c>
      <c r="U9" s="5" t="n">
        <v>148</v>
      </c>
    </row>
    <row r="10">
      <c r="A10" s="4" t="inlineStr">
        <is>
          <t>6631050full</t>
        </is>
      </c>
      <c r="B10" s="4" t="inlineStr">
        <is>
          <t>6631 0,50</t>
        </is>
      </c>
      <c r="C10" s="4" t="inlineStr">
        <is>
          <t>Jogo Aneis Motor Original 050 Gm Monza 2.0 8v 1986 Ate 1997</t>
        </is>
      </c>
      <c r="D10" s="5" t="n">
        <v>20</v>
      </c>
      <c r="E10" s="5" t="n">
        <v>0</v>
      </c>
      <c r="F10" s="5" t="n">
        <v>0</v>
      </c>
      <c r="G10" s="5">
        <f>D10+E10+F10</f>
        <v>20</v>
      </c>
      <c r="H10" s="5" t="n">
        <v>0</v>
      </c>
      <c r="I10" s="5" t="n">
        <v>0</v>
      </c>
      <c r="J10" s="17" t="n">
        <v>75</v>
      </c>
      <c r="K10" s="17" t="n">
        <v>148.56</v>
      </c>
      <c r="L10" s="6">
        <f>G10*J10</f>
        <v>1500</v>
      </c>
      <c r="M10" s="6">
        <f>G10*K10</f>
        <v>2971.2</v>
      </c>
      <c r="N10" s="6">
        <f>M10-L10</f>
        <v>1471.2</v>
      </c>
      <c r="O10" s="5" t="n">
        <v>33</v>
      </c>
      <c r="P10" s="6" t="n">
        <v>6010.5</v>
      </c>
      <c r="Q10" s="6">
        <f>IF(O10&gt;0,P10/O10,0)</f>
        <v>182.13636363636363</v>
      </c>
      <c r="R10" s="15">
        <f>IF(O10&gt;0,ROUND((D10+E10)/(O10/30),1),"")</f>
        <v>18.2</v>
      </c>
      <c r="S10" s="4" t="inlineStr">
        <is>
          <t>Sem urgência</t>
        </is>
      </c>
      <c r="T10" s="5" t="n">
        <v>0</v>
      </c>
      <c r="U10" s="5" t="n">
        <v>99</v>
      </c>
    </row>
    <row r="11">
      <c r="A11" s="4" t="inlineStr">
        <is>
          <t>1942full</t>
        </is>
      </c>
      <c r="B11" s="4" t="inlineStr">
        <is>
          <t>1942</t>
        </is>
      </c>
      <c r="C11" s="4" t="inlineStr">
        <is>
          <t>Retentor Comando Polia Vira Motor Ap 1.6 1.8 2.0 1942</t>
        </is>
      </c>
      <c r="D11" s="5" t="n">
        <v>165</v>
      </c>
      <c r="E11" s="5" t="n">
        <v>3</v>
      </c>
      <c r="F11" s="5" t="n">
        <v>0</v>
      </c>
      <c r="G11" s="5">
        <f>D11+E11+F11</f>
        <v>168</v>
      </c>
      <c r="H11" s="5" t="n">
        <v>0</v>
      </c>
      <c r="I11" s="5" t="n">
        <v>2</v>
      </c>
      <c r="J11" s="17" t="n">
        <v>8</v>
      </c>
      <c r="K11" s="17" t="n">
        <v>12.32</v>
      </c>
      <c r="L11" s="6">
        <f>G11*J11</f>
        <v>1344</v>
      </c>
      <c r="M11" s="6">
        <f>G11*K11</f>
        <v>2069.76</v>
      </c>
      <c r="N11" s="6">
        <f>M11-L11</f>
        <v>725.76</v>
      </c>
      <c r="O11" s="5" t="n">
        <v>78</v>
      </c>
      <c r="P11" s="6" t="n">
        <v>2290.16</v>
      </c>
      <c r="Q11" s="6">
        <f>IF(O11&gt;0,P11/O11,0)</f>
        <v>29.361025641025638</v>
      </c>
      <c r="R11" s="15">
        <f>IF(O11&gt;0,ROUND((D11+E11)/(O11/30),1),"")</f>
        <v>64.6</v>
      </c>
      <c r="S11" s="4" t="inlineStr">
        <is>
          <t>Sem urgência</t>
        </is>
      </c>
      <c r="T11" s="5" t="n">
        <v>0</v>
      </c>
      <c r="U11" s="5" t="n">
        <v>558</v>
      </c>
    </row>
    <row r="12">
      <c r="A12" s="4" t="inlineStr">
        <is>
          <t>2178full</t>
        </is>
      </c>
      <c r="B12" s="4" t="inlineStr">
        <is>
          <t>2178</t>
        </is>
      </c>
      <c r="C12" s="4" t="inlineStr">
        <is>
          <t>Retentor Do Comando Válvulas Astra Celta Corsa Meriva Vectra</t>
        </is>
      </c>
      <c r="D12" s="5" t="n">
        <v>146</v>
      </c>
      <c r="E12" s="5" t="n">
        <v>17</v>
      </c>
      <c r="F12" s="5" t="n">
        <v>0</v>
      </c>
      <c r="G12" s="5">
        <f>D12+E12+F12</f>
        <v>163</v>
      </c>
      <c r="H12" s="5" t="n">
        <v>0</v>
      </c>
      <c r="I12" s="5" t="n">
        <v>4</v>
      </c>
      <c r="J12" s="17" t="n">
        <v>8</v>
      </c>
      <c r="K12" s="17" t="n">
        <v>11.18</v>
      </c>
      <c r="L12" s="6">
        <f>G12*J12</f>
        <v>1304</v>
      </c>
      <c r="M12" s="6">
        <f>G12*K12</f>
        <v>1822.34</v>
      </c>
      <c r="N12" s="6">
        <f>M12-L12</f>
        <v>518.34</v>
      </c>
      <c r="O12" s="5" t="n">
        <v>448</v>
      </c>
      <c r="P12" s="6" t="n">
        <v>11767.88</v>
      </c>
      <c r="Q12" s="6">
        <f>IF(O12&gt;0,P12/O12,0)</f>
        <v>26.267589285714283</v>
      </c>
      <c r="R12" s="15">
        <f>IF(O12&gt;0,ROUND((D12+E12)/(O12/30),1),"")</f>
        <v>10.9</v>
      </c>
      <c r="S12" s="4" t="inlineStr">
        <is>
          <t>Sem urgência</t>
        </is>
      </c>
      <c r="T12" s="5" t="n">
        <v>0</v>
      </c>
      <c r="U12" s="5" t="n">
        <v>311</v>
      </c>
    </row>
    <row r="13">
      <c r="A13" s="4" t="inlineStr">
        <is>
          <t>5502</t>
        </is>
      </c>
      <c r="B13" s="4" t="inlineStr">
        <is>
          <t>5502</t>
        </is>
      </c>
      <c r="C13" s="4" t="inlineStr">
        <is>
          <t>Retentor Virabrequim Traseiro Gol Parati 1.0 8v 16v Motor At</t>
        </is>
      </c>
      <c r="D13" s="5" t="n">
        <v>13</v>
      </c>
      <c r="E13" s="5" t="n">
        <v>0</v>
      </c>
      <c r="F13" s="5" t="n">
        <v>0</v>
      </c>
      <c r="G13" s="5">
        <f>D13+E13+F13</f>
        <v>13</v>
      </c>
      <c r="H13" s="5" t="n">
        <v>0</v>
      </c>
      <c r="I13" s="5" t="n">
        <v>0</v>
      </c>
      <c r="J13" s="17" t="n">
        <v>70</v>
      </c>
      <c r="K13" s="17" t="n">
        <v>119.3</v>
      </c>
      <c r="L13" s="6">
        <f>G13*J13</f>
        <v>910</v>
      </c>
      <c r="M13" s="6">
        <f>G13*K13</f>
        <v>1550.9</v>
      </c>
      <c r="N13" s="6">
        <f>M13-L13</f>
        <v>640.9</v>
      </c>
      <c r="O13" s="5" t="n">
        <v>9</v>
      </c>
      <c r="P13" s="6" t="n">
        <v>1418.72</v>
      </c>
      <c r="Q13" s="6">
        <f>IF(O13&gt;0,P13/O13,0)</f>
        <v>157.63555555555556</v>
      </c>
      <c r="R13" s="15">
        <f>IF(O13&gt;0,ROUND((D13+E13)/(O13/30),1),"")</f>
        <v>43.3</v>
      </c>
      <c r="S13" s="4" t="inlineStr">
        <is>
          <t>Sem urgência</t>
        </is>
      </c>
      <c r="T13" s="5" t="n">
        <v>0</v>
      </c>
      <c r="U13" s="5" t="n">
        <v>44</v>
      </c>
    </row>
    <row r="14">
      <c r="A14" s="4" t="inlineStr">
        <is>
          <t>3044full</t>
        </is>
      </c>
      <c r="B14" s="4" t="inlineStr">
        <is>
          <t>3044</t>
        </is>
      </c>
      <c r="C14" s="4" t="inlineStr">
        <is>
          <t>Jogo 8 Retentores Valvula Motor Palio Uno Fire 1.0 8v 03044</t>
        </is>
      </c>
      <c r="D14" s="5" t="n">
        <v>83</v>
      </c>
      <c r="E14" s="5" t="n">
        <v>5</v>
      </c>
      <c r="F14" s="5" t="n">
        <v>0</v>
      </c>
      <c r="G14" s="5">
        <f>D14+E14+F14</f>
        <v>88</v>
      </c>
      <c r="H14" s="5" t="n">
        <v>0</v>
      </c>
      <c r="I14" s="5" t="n">
        <v>2</v>
      </c>
      <c r="J14" s="17" t="n">
        <v>8.5</v>
      </c>
      <c r="K14" s="17" t="n">
        <v>13.38</v>
      </c>
      <c r="L14" s="6">
        <f>G14*J14</f>
        <v>748.0</v>
      </c>
      <c r="M14" s="6">
        <f>G14*K14</f>
        <v>1177.44</v>
      </c>
      <c r="N14" s="6">
        <f>M14-L14</f>
        <v>429.44</v>
      </c>
      <c r="O14" s="5" t="n">
        <v>88</v>
      </c>
      <c r="P14" s="6" t="n">
        <v>2578.97</v>
      </c>
      <c r="Q14" s="6">
        <f>IF(O14&gt;0,P14/O14,0)</f>
        <v>29.30647727272727</v>
      </c>
      <c r="R14" s="15">
        <f>IF(O14&gt;0,ROUND((D14+E14)/(O14/30),1),"")</f>
        <v>30.0</v>
      </c>
      <c r="S14" s="4" t="inlineStr">
        <is>
          <t>Sem urgência</t>
        </is>
      </c>
      <c r="T14" s="5" t="n">
        <v>0</v>
      </c>
      <c r="U14" s="5" t="n">
        <v>483</v>
      </c>
    </row>
    <row r="15">
      <c r="A15" s="4" t="inlineStr">
        <is>
          <t>5601full</t>
        </is>
      </c>
      <c r="B15" s="4" t="inlineStr">
        <is>
          <t>5601</t>
        </is>
      </c>
      <c r="C15" s="4" t="inlineStr">
        <is>
          <t>Retentor Volante Clio/sandero/logan/megane/ 1.6 8/16v 5601</t>
        </is>
      </c>
      <c r="D15" s="5" t="n">
        <v>25</v>
      </c>
      <c r="E15" s="5" t="n">
        <v>2</v>
      </c>
      <c r="F15" s="5" t="n">
        <v>0</v>
      </c>
      <c r="G15" s="5">
        <f>D15+E15+F15</f>
        <v>27</v>
      </c>
      <c r="H15" s="5" t="n">
        <v>60</v>
      </c>
      <c r="I15" s="5" t="n">
        <v>0</v>
      </c>
      <c r="J15" s="17" t="n">
        <v>25</v>
      </c>
      <c r="K15" s="17" t="n">
        <v>38.88</v>
      </c>
      <c r="L15" s="6">
        <f>G15*J15</f>
        <v>675</v>
      </c>
      <c r="M15" s="6">
        <f>G15*K15</f>
        <v>1049.76</v>
      </c>
      <c r="N15" s="6">
        <f>M15-L15</f>
        <v>374.76</v>
      </c>
      <c r="O15" s="5" t="n">
        <v>57</v>
      </c>
      <c r="P15" s="6" t="n">
        <v>3383.76</v>
      </c>
      <c r="Q15" s="6">
        <f>IF(O15&gt;0,P15/O15,0)</f>
        <v>59.364210526315794</v>
      </c>
      <c r="R15" s="15">
        <f>IF(O15&gt;0,ROUND((D15+E15)/(O15/30),1),"")</f>
        <v>14.2</v>
      </c>
      <c r="S15" s="4" t="inlineStr">
        <is>
          <t>Sem urgência</t>
        </is>
      </c>
      <c r="T15" s="5" t="n">
        <v>0</v>
      </c>
      <c r="U15" s="5" t="n">
        <v>148</v>
      </c>
    </row>
    <row r="16">
      <c r="A16" s="4" t="inlineStr">
        <is>
          <t>1035jfull</t>
        </is>
      </c>
      <c r="B16" s="4" t="inlineStr">
        <is>
          <t>1035-J</t>
        </is>
      </c>
      <c r="C16" s="4" t="inlineStr">
        <is>
          <t>Bronzina De Biela 0,25mm Gol/fox/parati 1.0 8v Ea111 1035j</t>
        </is>
      </c>
      <c r="D16" s="5" t="n">
        <v>15</v>
      </c>
      <c r="E16" s="5" t="n">
        <v>3</v>
      </c>
      <c r="F16" s="5" t="n">
        <v>0</v>
      </c>
      <c r="G16" s="5">
        <f>D16+E16+F16</f>
        <v>18</v>
      </c>
      <c r="H16" s="5" t="n">
        <v>0</v>
      </c>
      <c r="I16" s="5" t="n">
        <v>0</v>
      </c>
      <c r="J16" s="17" t="n">
        <v>32</v>
      </c>
      <c r="K16" s="17" t="n">
        <v>69.25</v>
      </c>
      <c r="L16" s="6">
        <f>G16*J16</f>
        <v>576</v>
      </c>
      <c r="M16" s="6">
        <f>G16*K16</f>
        <v>1246.5</v>
      </c>
      <c r="N16" s="6">
        <f>M16-L16</f>
        <v>670.5</v>
      </c>
      <c r="O16" s="5" t="n">
        <v>61</v>
      </c>
      <c r="P16" s="6" t="n">
        <v>4616.13</v>
      </c>
      <c r="Q16" s="6">
        <f>IF(O16&gt;0,P16/O16,0)</f>
        <v>75.67426229508197</v>
      </c>
      <c r="R16" s="15">
        <f>IF(O16&gt;0,ROUND((D16+E16)/(O16/30),1),"")</f>
        <v>8.9</v>
      </c>
      <c r="S16" s="4" t="inlineStr">
        <is>
          <t>Esta semana</t>
        </is>
      </c>
      <c r="T16" s="5" t="n">
        <v>57</v>
      </c>
      <c r="U16" s="5" t="n">
        <v>22</v>
      </c>
    </row>
    <row r="17">
      <c r="A17" s="4" t="inlineStr">
        <is>
          <t>2283full</t>
        </is>
      </c>
      <c r="B17" s="4" t="inlineStr">
        <is>
          <t>2283</t>
        </is>
      </c>
      <c r="C17" s="4" t="inlineStr">
        <is>
          <t>Retentor Traseiro Virabrequim Santana 1.8/2.0 8v Ap 02283</t>
        </is>
      </c>
      <c r="D17" s="5" t="n">
        <v>36</v>
      </c>
      <c r="E17" s="5" t="n">
        <v>0</v>
      </c>
      <c r="F17" s="5" t="n">
        <v>0</v>
      </c>
      <c r="G17" s="5">
        <f>D17+E17+F17</f>
        <v>36</v>
      </c>
      <c r="H17" s="5" t="n">
        <v>0</v>
      </c>
      <c r="I17" s="5" t="n">
        <v>1</v>
      </c>
      <c r="J17" s="17" t="n">
        <v>15</v>
      </c>
      <c r="K17" s="17" t="n">
        <v>28.18</v>
      </c>
      <c r="L17" s="6">
        <f>G17*J17</f>
        <v>540</v>
      </c>
      <c r="M17" s="6">
        <f>G17*K17</f>
        <v>1014.48</v>
      </c>
      <c r="N17" s="6">
        <f>M17-L17</f>
        <v>474.48</v>
      </c>
      <c r="O17" s="5" t="n">
        <v>23</v>
      </c>
      <c r="P17" s="6" t="n">
        <v>934.46</v>
      </c>
      <c r="Q17" s="6">
        <f>IF(O17&gt;0,P17/O17,0)</f>
        <v>40.62869565217392</v>
      </c>
      <c r="R17" s="15">
        <f>IF(O17&gt;0,ROUND((D17+E17)/(O17/30),1),"")</f>
        <v>47.0</v>
      </c>
      <c r="S17" s="4" t="inlineStr">
        <is>
          <t>Sem urgência</t>
        </is>
      </c>
      <c r="T17" s="5" t="n">
        <v>0</v>
      </c>
      <c r="U17" s="5" t="n">
        <v>268</v>
      </c>
    </row>
    <row r="18">
      <c r="A18" s="4" t="inlineStr">
        <is>
          <t>2374full</t>
        </is>
      </c>
      <c r="B18" s="4" t="inlineStr">
        <is>
          <t>2374</t>
        </is>
      </c>
      <c r="C18" s="4" t="inlineStr">
        <is>
          <t>Retentor Câmbio Monza Corsa Celta Onix Prisma Vectra 02374</t>
        </is>
      </c>
      <c r="D18" s="5" t="n">
        <v>57</v>
      </c>
      <c r="E18" s="5" t="n">
        <v>4</v>
      </c>
      <c r="F18" s="5" t="n">
        <v>0</v>
      </c>
      <c r="G18" s="5">
        <f>D18+E18+F18</f>
        <v>61</v>
      </c>
      <c r="H18" s="5" t="n">
        <v>0</v>
      </c>
      <c r="I18" s="5" t="n">
        <v>0</v>
      </c>
      <c r="J18" s="17" t="n">
        <v>8</v>
      </c>
      <c r="K18" s="17" t="n">
        <v>16.89</v>
      </c>
      <c r="L18" s="6">
        <f>G18*J18</f>
        <v>488</v>
      </c>
      <c r="M18" s="6">
        <f>G18*K18</f>
        <v>1030.29</v>
      </c>
      <c r="N18" s="6">
        <f>M18-L18</f>
        <v>542.29</v>
      </c>
      <c r="O18" s="5" t="n">
        <v>107</v>
      </c>
      <c r="P18" s="6" t="n">
        <v>3345.47</v>
      </c>
      <c r="Q18" s="6">
        <f>IF(O18&gt;0,P18/O18,0)</f>
        <v>31.26607476635514</v>
      </c>
      <c r="R18" s="15">
        <f>IF(O18&gt;0,ROUND((D18+E18)/(O18/30),1),"")</f>
        <v>17.1</v>
      </c>
      <c r="S18" s="4" t="inlineStr">
        <is>
          <t>Sem urgência</t>
        </is>
      </c>
      <c r="T18" s="5" t="n">
        <v>0</v>
      </c>
      <c r="U18" s="5" t="n">
        <v>297</v>
      </c>
    </row>
    <row r="19">
      <c r="A19" s="4" t="inlineStr">
        <is>
          <t>5801full</t>
        </is>
      </c>
      <c r="B19" s="4" t="inlineStr">
        <is>
          <t>5801</t>
        </is>
      </c>
      <c r="C19" s="4" t="inlineStr">
        <is>
          <t>Retentor Volante Gol Voyage Vw G4 G5 G6 1.0 1.6 8v Fox 5801</t>
        </is>
      </c>
      <c r="D19" s="5" t="n">
        <v>5</v>
      </c>
      <c r="E19" s="5" t="n">
        <v>0</v>
      </c>
      <c r="F19" s="5" t="n">
        <v>0</v>
      </c>
      <c r="G19" s="5">
        <f>D19+E19+F19</f>
        <v>5</v>
      </c>
      <c r="H19" s="5" t="n">
        <v>125</v>
      </c>
      <c r="I19" s="5" t="n">
        <v>8</v>
      </c>
      <c r="J19" s="17" t="n">
        <v>85</v>
      </c>
      <c r="K19" s="17" t="n">
        <v>145.76</v>
      </c>
      <c r="L19" s="6">
        <f>G19*J19</f>
        <v>425</v>
      </c>
      <c r="M19" s="6">
        <f>G19*K19</f>
        <v>728.8</v>
      </c>
      <c r="N19" s="6">
        <f>M19-L19</f>
        <v>303.8</v>
      </c>
      <c r="O19" s="5" t="n">
        <v>234</v>
      </c>
      <c r="P19" s="6" t="n">
        <v>40115.66</v>
      </c>
      <c r="Q19" s="6">
        <f>IF(O19&gt;0,P19/O19,0)</f>
        <v>171.43444444444447</v>
      </c>
      <c r="R19" s="15">
        <f>IF(O19&gt;0,ROUND((D19+E19)/(O19/30),1),"")</f>
        <v>0.6</v>
      </c>
      <c r="S19" s="4" t="inlineStr">
        <is>
          <t>Esta semana</t>
        </is>
      </c>
      <c r="T19" s="5" t="n">
        <v>0</v>
      </c>
      <c r="U19" s="5" t="n">
        <v>29</v>
      </c>
    </row>
    <row r="20">
      <c r="A20" s="4" t="inlineStr">
        <is>
          <t>2539</t>
        </is>
      </c>
      <c r="B20" s="4" t="inlineStr">
        <is>
          <t>2539</t>
        </is>
      </c>
      <c r="C20" s="4" t="inlineStr">
        <is>
          <t>Retentor Comando Uno Palio Fire 1.0 1.3 1.4 8v Sabó 2539</t>
        </is>
      </c>
      <c r="D20" s="5" t="n">
        <v>33</v>
      </c>
      <c r="E20" s="5" t="n">
        <v>0</v>
      </c>
      <c r="F20" s="5" t="n">
        <v>0</v>
      </c>
      <c r="G20" s="5">
        <f>D20+E20+F20</f>
        <v>33</v>
      </c>
      <c r="H20" s="5" t="n">
        <v>0</v>
      </c>
      <c r="I20" s="5" t="n">
        <v>2</v>
      </c>
      <c r="J20" s="17" t="n">
        <v>8</v>
      </c>
      <c r="K20" s="17" t="n">
        <v>21.5</v>
      </c>
      <c r="L20" s="6">
        <f>G20*J20</f>
        <v>264</v>
      </c>
      <c r="M20" s="6">
        <f>G20*K20</f>
        <v>709.5</v>
      </c>
      <c r="N20" s="6">
        <f>M20-L20</f>
        <v>445.5</v>
      </c>
      <c r="O20" s="5" t="n">
        <v>8</v>
      </c>
      <c r="P20" s="6" t="n">
        <v>285.22</v>
      </c>
      <c r="Q20" s="6">
        <f>IF(O20&gt;0,P20/O20,0)</f>
        <v>35.6525</v>
      </c>
      <c r="R20" s="15">
        <f>IF(O20&gt;0,ROUND((D20+E20)/(O20/30),1),"")</f>
        <v>123.8</v>
      </c>
      <c r="S20" s="4" t="inlineStr">
        <is>
          <t>Excedente</t>
        </is>
      </c>
      <c r="T20" s="5" t="n">
        <v>0</v>
      </c>
      <c r="U20" s="5" t="n">
        <v>35</v>
      </c>
    </row>
    <row r="21">
      <c r="A21" s="4" t="inlineStr">
        <is>
          <t>2525full</t>
        </is>
      </c>
      <c r="B21" s="4" t="inlineStr">
        <is>
          <t>2525</t>
        </is>
      </c>
      <c r="C21" s="4" t="inlineStr">
        <is>
          <t>Retentor Virabrequim Corsa Celta 1.0 1.4 8v Palio 1.8 02525</t>
        </is>
      </c>
      <c r="D21" s="5" t="n">
        <v>28</v>
      </c>
      <c r="E21" s="5" t="n">
        <v>2</v>
      </c>
      <c r="F21" s="5" t="n">
        <v>0</v>
      </c>
      <c r="G21" s="5">
        <f>D21+E21+F21</f>
        <v>30</v>
      </c>
      <c r="H21" s="5" t="n">
        <v>80</v>
      </c>
      <c r="I21" s="5" t="n">
        <v>1</v>
      </c>
      <c r="J21" s="17" t="n">
        <v>8</v>
      </c>
      <c r="K21" s="17" t="n">
        <v>13.23</v>
      </c>
      <c r="L21" s="6">
        <f>G21*J21</f>
        <v>240</v>
      </c>
      <c r="M21" s="6">
        <f>G21*K21</f>
        <v>396.9</v>
      </c>
      <c r="N21" s="6">
        <f>M21-L21</f>
        <v>156.9</v>
      </c>
      <c r="O21" s="5" t="n">
        <v>78</v>
      </c>
      <c r="P21" s="6" t="n">
        <v>2009.75</v>
      </c>
      <c r="Q21" s="6">
        <f>IF(O21&gt;0,P21/O21,0)</f>
        <v>25.766025641025642</v>
      </c>
      <c r="R21" s="15">
        <f>IF(O21&gt;0,ROUND((D21+E21)/(O21/30),1),"")</f>
        <v>11.5</v>
      </c>
      <c r="S21" s="4" t="inlineStr">
        <is>
          <t>Sem urgência</t>
        </is>
      </c>
      <c r="T21" s="5" t="n">
        <v>0</v>
      </c>
      <c r="U21" s="5" t="n">
        <v>599</v>
      </c>
    </row>
    <row r="22">
      <c r="A22" s="4" t="inlineStr">
        <is>
          <t>5266</t>
        </is>
      </c>
      <c r="B22" s="4" t="inlineStr">
        <is>
          <t>5266</t>
        </is>
      </c>
      <c r="C22" s="4" t="inlineStr">
        <is>
          <t>Retentor Virabrequim Polia Uno - Palio 1.0 1.3 8v Fire 5266</t>
        </is>
      </c>
      <c r="D22" s="5" t="n">
        <v>24</v>
      </c>
      <c r="E22" s="5" t="n">
        <v>2</v>
      </c>
      <c r="F22" s="5" t="n">
        <v>0</v>
      </c>
      <c r="G22" s="5">
        <f>D22+E22+F22</f>
        <v>26</v>
      </c>
      <c r="H22" s="5" t="n">
        <v>0</v>
      </c>
      <c r="I22" s="5" t="n">
        <v>0</v>
      </c>
      <c r="J22" s="17" t="n">
        <v>8</v>
      </c>
      <c r="K22" s="17" t="n">
        <v>25.62</v>
      </c>
      <c r="L22" s="6">
        <f>G22*J22</f>
        <v>208</v>
      </c>
      <c r="M22" s="6">
        <f>G22*K22</f>
        <v>666.12</v>
      </c>
      <c r="N22" s="6">
        <f>M22-L22</f>
        <v>458.12</v>
      </c>
      <c r="O22" s="5" t="n">
        <v>36</v>
      </c>
      <c r="P22" s="6" t="n">
        <v>1241.21</v>
      </c>
      <c r="Q22" s="6">
        <f>IF(O22&gt;0,P22/O22,0)</f>
        <v>34.47805555555556</v>
      </c>
      <c r="R22" s="15">
        <f>IF(O22&gt;0,ROUND((D22+E22)/(O22/30),1),"")</f>
        <v>21.7</v>
      </c>
      <c r="S22" s="4" t="inlineStr">
        <is>
          <t>Sem urgência</t>
        </is>
      </c>
      <c r="T22" s="5" t="n">
        <v>0</v>
      </c>
      <c r="U22" s="5" t="n">
        <v>15</v>
      </c>
    </row>
    <row r="23">
      <c r="A23" s="4" t="inlineStr">
        <is>
          <t>2400full</t>
        </is>
      </c>
      <c r="B23" s="4" t="inlineStr">
        <is>
          <t>2400</t>
        </is>
      </c>
      <c r="C23" s="4" t="inlineStr">
        <is>
          <t>Retentor Vedador Haste Válvula Chevette Marajó 1.6 Sabó 2400</t>
        </is>
      </c>
      <c r="D23" s="5" t="n">
        <v>14</v>
      </c>
      <c r="E23" s="5" t="n">
        <v>0</v>
      </c>
      <c r="F23" s="5" t="n">
        <v>0</v>
      </c>
      <c r="G23" s="5">
        <f>D23+E23+F23</f>
        <v>14</v>
      </c>
      <c r="H23" s="5" t="n">
        <v>30</v>
      </c>
      <c r="I23" s="5" t="n">
        <v>0</v>
      </c>
      <c r="J23" s="17" t="n">
        <v>14</v>
      </c>
      <c r="K23" s="17" t="n">
        <v>29.43</v>
      </c>
      <c r="L23" s="6">
        <f>G23*J23</f>
        <v>196</v>
      </c>
      <c r="M23" s="6">
        <f>G23*K23</f>
        <v>412.02</v>
      </c>
      <c r="N23" s="6">
        <f>M23-L23</f>
        <v>216.02</v>
      </c>
      <c r="O23" s="5" t="n">
        <v>32</v>
      </c>
      <c r="P23" s="6" t="n">
        <v>1500.62</v>
      </c>
      <c r="Q23" s="6">
        <f>IF(O23&gt;0,P23/O23,0)</f>
        <v>46.894375</v>
      </c>
      <c r="R23" s="15">
        <f>IF(O23&gt;0,ROUND((D23+E23)/(O23/30),1),"")</f>
        <v>13.1</v>
      </c>
      <c r="S23" s="4" t="inlineStr">
        <is>
          <t>Sem urgência</t>
        </is>
      </c>
      <c r="T23" s="5" t="n">
        <v>0</v>
      </c>
      <c r="U23" s="5" t="n">
        <v>101</v>
      </c>
    </row>
    <row r="24">
      <c r="A24" s="4" t="inlineStr">
        <is>
          <t>2370full</t>
        </is>
      </c>
      <c r="B24" s="4" t="inlineStr">
        <is>
          <t>2370</t>
        </is>
      </c>
      <c r="C24" s="4" t="inlineStr">
        <is>
          <t>Retentor Semi Eixo Chevrolet Vectra 2.0 8v 1994 / 2011 2370</t>
        </is>
      </c>
      <c r="D24" s="5" t="n">
        <v>26</v>
      </c>
      <c r="E24" s="5" t="n">
        <v>0</v>
      </c>
      <c r="F24" s="5" t="n">
        <v>1</v>
      </c>
      <c r="G24" s="5">
        <f>D24+E24+F24</f>
        <v>27</v>
      </c>
      <c r="H24" s="5" t="n">
        <v>100</v>
      </c>
      <c r="I24" s="5" t="n">
        <v>0</v>
      </c>
      <c r="J24" s="17" t="n">
        <v>7</v>
      </c>
      <c r="K24" s="17" t="n">
        <v>10.3</v>
      </c>
      <c r="L24" s="6">
        <f>G24*J24</f>
        <v>189</v>
      </c>
      <c r="M24" s="6">
        <f>G24*K24</f>
        <v>278.1</v>
      </c>
      <c r="N24" s="6">
        <f>M24-L24</f>
        <v>89.1</v>
      </c>
      <c r="O24" s="5" t="n">
        <v>85</v>
      </c>
      <c r="P24" s="6" t="n">
        <v>2220.95</v>
      </c>
      <c r="Q24" s="6">
        <f>IF(O24&gt;0,P24/O24,0)</f>
        <v>26.12882352941176</v>
      </c>
      <c r="R24" s="15">
        <f>IF(O24&gt;0,ROUND((D24+E24)/(O24/30),1),"")</f>
        <v>9.2</v>
      </c>
      <c r="S24" s="4" t="inlineStr">
        <is>
          <t>Sem urgência</t>
        </is>
      </c>
      <c r="T24" s="5" t="n">
        <v>0</v>
      </c>
      <c r="U24" s="5" t="n">
        <v>434</v>
      </c>
    </row>
    <row r="25">
      <c r="A25" s="4" t="inlineStr">
        <is>
          <t>2317</t>
        </is>
      </c>
      <c r="B25" s="4" t="inlineStr">
        <is>
          <t>2317</t>
        </is>
      </c>
      <c r="C25" s="4" t="inlineStr">
        <is>
          <t>Retentor Dianteiro Virabrequim Omega Monza Vectra 2.0 8v</t>
        </is>
      </c>
      <c r="D25" s="5" t="n">
        <v>19</v>
      </c>
      <c r="E25" s="5" t="n">
        <v>0</v>
      </c>
      <c r="F25" s="5" t="n">
        <v>0</v>
      </c>
      <c r="G25" s="5">
        <f>D25+E25+F25</f>
        <v>19</v>
      </c>
      <c r="H25" s="5" t="n">
        <v>20</v>
      </c>
      <c r="I25" s="5" t="n">
        <v>0</v>
      </c>
      <c r="J25" s="17" t="n">
        <v>8</v>
      </c>
      <c r="K25" s="17" t="n">
        <v>25.62</v>
      </c>
      <c r="L25" s="6">
        <f>G25*J25</f>
        <v>152</v>
      </c>
      <c r="M25" s="6">
        <f>G25*K25</f>
        <v>486.78</v>
      </c>
      <c r="N25" s="6">
        <f>M25-L25</f>
        <v>334.78</v>
      </c>
      <c r="O25" s="5" t="n">
        <v>28</v>
      </c>
      <c r="P25" s="6" t="n">
        <v>973.22</v>
      </c>
      <c r="Q25" s="6">
        <f>IF(O25&gt;0,P25/O25,0)</f>
        <v>34.75785714285714</v>
      </c>
      <c r="R25" s="15">
        <f>IF(O25&gt;0,ROUND((D25+E25)/(O25/30),1),"")</f>
        <v>20.4</v>
      </c>
      <c r="S25" s="4" t="inlineStr">
        <is>
          <t>Sem urgência</t>
        </is>
      </c>
      <c r="T25" s="5" t="n">
        <v>0</v>
      </c>
      <c r="U25" s="5" t="n">
        <v>72</v>
      </c>
    </row>
    <row r="26">
      <c r="A26" s="4" t="inlineStr">
        <is>
          <t>7224STDfull</t>
        </is>
      </c>
      <c r="B26" s="4" t="inlineStr">
        <is>
          <t>7224 STD</t>
        </is>
      </c>
      <c r="C26" s="4" t="inlineStr">
        <is>
          <t>Jogo Anéis Motor Vw 1.0 Fox 8v At Ea111 2004 A 2010 7224 Std</t>
        </is>
      </c>
      <c r="D26" s="5" t="n">
        <v>2</v>
      </c>
      <c r="E26" s="5" t="n">
        <v>0</v>
      </c>
      <c r="F26" s="5" t="n">
        <v>0</v>
      </c>
      <c r="G26" s="5">
        <f>D26+E26+F26</f>
        <v>2</v>
      </c>
      <c r="H26" s="5" t="n">
        <v>20</v>
      </c>
      <c r="I26" s="5" t="n">
        <v>0</v>
      </c>
      <c r="J26" s="17" t="n">
        <v>75</v>
      </c>
      <c r="K26" s="17" t="n">
        <v>126.81</v>
      </c>
      <c r="L26" s="6">
        <f>G26*J26</f>
        <v>150</v>
      </c>
      <c r="M26" s="6">
        <f>G26*K26</f>
        <v>253.62</v>
      </c>
      <c r="N26" s="6">
        <f>M26-L26</f>
        <v>103.62</v>
      </c>
      <c r="O26" s="5" t="n">
        <v>44</v>
      </c>
      <c r="P26" s="6" t="n">
        <v>7206.16</v>
      </c>
      <c r="Q26" s="6">
        <f>IF(O26&gt;0,P26/O26,0)</f>
        <v>163.77636363636364</v>
      </c>
      <c r="R26" s="15">
        <f>IF(O26&gt;0,ROUND((D26+E26)/(O26/30),1),"")</f>
        <v>1.4</v>
      </c>
      <c r="S26" s="4" t="inlineStr">
        <is>
          <t>Próxima semana</t>
        </is>
      </c>
      <c r="T26" s="5" t="n">
        <v>0</v>
      </c>
      <c r="U26" s="5" t="n">
        <v>35</v>
      </c>
    </row>
    <row r="27">
      <c r="A27" s="4" t="inlineStr">
        <is>
          <t>1135</t>
        </is>
      </c>
      <c r="B27" s="4" t="inlineStr">
        <is>
          <t>1135</t>
        </is>
      </c>
      <c r="C27" s="4" t="inlineStr">
        <is>
          <t>Retentor Do Volante Fusca Kombi 1300/1500/1600 1135 Vermelho</t>
        </is>
      </c>
      <c r="D27" s="5" t="n">
        <v>11</v>
      </c>
      <c r="E27" s="5" t="n">
        <v>0</v>
      </c>
      <c r="F27" s="5" t="n">
        <v>0</v>
      </c>
      <c r="G27" s="5">
        <f>D27+E27+F27</f>
        <v>11</v>
      </c>
      <c r="H27" s="5" t="n">
        <v>0</v>
      </c>
      <c r="I27" s="5" t="n">
        <v>0</v>
      </c>
      <c r="J27" s="17" t="n">
        <v>12</v>
      </c>
      <c r="K27" s="17" t="n">
        <v>31.13</v>
      </c>
      <c r="L27" s="6">
        <f>G27*J27</f>
        <v>132</v>
      </c>
      <c r="M27" s="6">
        <f>G27*K27</f>
        <v>342.43</v>
      </c>
      <c r="N27" s="6">
        <f>M27-L27</f>
        <v>210.43</v>
      </c>
      <c r="O27" s="5" t="n">
        <v>5</v>
      </c>
      <c r="P27" s="6" t="n">
        <v>216.97</v>
      </c>
      <c r="Q27" s="6">
        <f>IF(O27&gt;0,P27/O27,0)</f>
        <v>43.394</v>
      </c>
      <c r="R27" s="15">
        <f>IF(O27&gt;0,ROUND((D27+E27)/(O27/30),1),"")</f>
        <v>66.0</v>
      </c>
      <c r="S27" s="4" t="inlineStr">
        <is>
          <t>Sem urgência</t>
        </is>
      </c>
      <c r="T27" s="5" t="n">
        <v>0</v>
      </c>
      <c r="U27" s="5" t="n">
        <v>116</v>
      </c>
    </row>
    <row r="28">
      <c r="A28" s="4" t="inlineStr">
        <is>
          <t>2373full</t>
        </is>
      </c>
      <c r="B28" s="4" t="inlineStr">
        <is>
          <t>2373</t>
        </is>
      </c>
      <c r="C28" s="4" t="inlineStr">
        <is>
          <t>Retentor Do Trambulador Gm Corsa Celta Prisma Sabó 2373</t>
        </is>
      </c>
      <c r="D28" s="5" t="n">
        <v>20</v>
      </c>
      <c r="E28" s="5" t="n">
        <v>1</v>
      </c>
      <c r="F28" s="5" t="n">
        <v>0</v>
      </c>
      <c r="G28" s="5">
        <f>D28+E28+F28</f>
        <v>21</v>
      </c>
      <c r="H28" s="5" t="n">
        <v>40</v>
      </c>
      <c r="I28" s="5" t="n">
        <v>0</v>
      </c>
      <c r="J28" s="17" t="n">
        <v>6</v>
      </c>
      <c r="K28" s="17" t="n">
        <v>22.16</v>
      </c>
      <c r="L28" s="6">
        <f>G28*J28</f>
        <v>126</v>
      </c>
      <c r="M28" s="6">
        <f>G28*K28</f>
        <v>465.36</v>
      </c>
      <c r="N28" s="6">
        <f>M28-L28</f>
        <v>339.36</v>
      </c>
      <c r="O28" s="5" t="n">
        <v>38</v>
      </c>
      <c r="P28" s="6" t="n">
        <v>1067.59</v>
      </c>
      <c r="Q28" s="6">
        <f>IF(O28&gt;0,P28/O28,0)</f>
        <v>28.094473684210524</v>
      </c>
      <c r="R28" s="15">
        <f>IF(O28&gt;0,ROUND((D28+E28)/(O28/30),1),"")</f>
        <v>16.6</v>
      </c>
      <c r="S28" s="4" t="inlineStr">
        <is>
          <t>Sem urgência</t>
        </is>
      </c>
      <c r="T28" s="5" t="n">
        <v>0</v>
      </c>
      <c r="U28" s="5" t="n">
        <v>94</v>
      </c>
    </row>
    <row r="29">
      <c r="A29" s="4" t="inlineStr">
        <is>
          <t>2544full</t>
        </is>
      </c>
      <c r="B29" s="4" t="inlineStr">
        <is>
          <t>2544</t>
        </is>
      </c>
      <c r="C29" s="4" t="inlineStr">
        <is>
          <t>Jogo 8 Retentor Valvula Motor Ap 1.6 1.8 2.0 Sabo 2544bref</t>
        </is>
      </c>
      <c r="D29" s="5" t="n">
        <v>8</v>
      </c>
      <c r="E29" s="5" t="n">
        <v>0</v>
      </c>
      <c r="F29" s="5" t="n">
        <v>0</v>
      </c>
      <c r="G29" s="5">
        <f>D29+E29+F29</f>
        <v>8</v>
      </c>
      <c r="H29" s="5" t="n">
        <v>50</v>
      </c>
      <c r="I29" s="5" t="n">
        <v>1</v>
      </c>
      <c r="J29" s="17" t="n">
        <v>12</v>
      </c>
      <c r="K29" s="17" t="n">
        <v>18.31</v>
      </c>
      <c r="L29" s="6">
        <f>G29*J29</f>
        <v>96</v>
      </c>
      <c r="M29" s="6">
        <f>G29*K29</f>
        <v>146.48</v>
      </c>
      <c r="N29" s="6">
        <f>M29-L29</f>
        <v>50.48</v>
      </c>
      <c r="O29" s="5" t="n">
        <v>49</v>
      </c>
      <c r="P29" s="6" t="n">
        <v>1786.24</v>
      </c>
      <c r="Q29" s="6">
        <f>IF(O29&gt;0,P29/O29,0)</f>
        <v>36.45387755102041</v>
      </c>
      <c r="R29" s="15">
        <f>IF(O29&gt;0,ROUND((D29+E29)/(O29/30),1),"")</f>
        <v>4.9</v>
      </c>
      <c r="S29" s="4" t="inlineStr">
        <is>
          <t>Sem urgência</t>
        </is>
      </c>
      <c r="T29" s="5" t="n">
        <v>0</v>
      </c>
      <c r="U29" s="5" t="n">
        <v>211</v>
      </c>
    </row>
    <row r="30">
      <c r="A30" s="4" t="inlineStr">
        <is>
          <t>2371full</t>
        </is>
      </c>
      <c r="B30" s="4" t="inlineStr">
        <is>
          <t>2371</t>
        </is>
      </c>
      <c r="C30" s="4" t="inlineStr">
        <is>
          <t>Retentor Eixo Piloto Gm Corsa/celta/agile/montana/prisma</t>
        </is>
      </c>
      <c r="D30" s="5" t="n">
        <v>13</v>
      </c>
      <c r="E30" s="5" t="n">
        <v>0</v>
      </c>
      <c r="F30" s="5" t="n">
        <v>0</v>
      </c>
      <c r="G30" s="5">
        <f>D30+E30+F30</f>
        <v>13</v>
      </c>
      <c r="H30" s="5" t="n">
        <v>0</v>
      </c>
      <c r="I30" s="5" t="n">
        <v>0</v>
      </c>
      <c r="J30" s="17" t="n">
        <v>7</v>
      </c>
      <c r="K30" s="17" t="n">
        <v>20</v>
      </c>
      <c r="L30" s="6">
        <f>G30*J30</f>
        <v>91</v>
      </c>
      <c r="M30" s="6">
        <f>G30*K30</f>
        <v>260</v>
      </c>
      <c r="N30" s="6">
        <f>M30-L30</f>
        <v>169</v>
      </c>
      <c r="O30" s="5" t="n">
        <v>16</v>
      </c>
      <c r="P30" s="6" t="n">
        <v>538.3</v>
      </c>
      <c r="Q30" s="6">
        <f>IF(O30&gt;0,P30/O30,0)</f>
        <v>33.64375</v>
      </c>
      <c r="R30" s="15">
        <f>IF(O30&gt;0,ROUND((D30+E30)/(O30/30),1),"")</f>
        <v>24.4</v>
      </c>
      <c r="S30" s="4" t="inlineStr">
        <is>
          <t>Sem urgência</t>
        </is>
      </c>
      <c r="T30" s="5" t="n">
        <v>0</v>
      </c>
      <c r="U30" s="5" t="n">
        <v>359</v>
      </c>
    </row>
    <row r="31">
      <c r="A31" s="4" t="inlineStr">
        <is>
          <t>2075</t>
        </is>
      </c>
      <c r="B31" s="4" t="inlineStr">
        <is>
          <t>2075</t>
        </is>
      </c>
      <c r="C31" s="4" t="inlineStr">
        <is>
          <t>Retentor Eixo Piloto Gol/santana/saveiro/del Rey Sabó 02075</t>
        </is>
      </c>
      <c r="D31" s="5" t="n">
        <v>7</v>
      </c>
      <c r="E31" s="5" t="n">
        <v>0</v>
      </c>
      <c r="F31" s="5" t="n">
        <v>0</v>
      </c>
      <c r="G31" s="5">
        <f>D31+E31+F31</f>
        <v>7</v>
      </c>
      <c r="H31" s="5" t="n">
        <v>0</v>
      </c>
      <c r="I31" s="5" t="n">
        <v>0</v>
      </c>
      <c r="J31" s="17" t="n">
        <v>8</v>
      </c>
      <c r="K31" s="17" t="n">
        <v>13.42</v>
      </c>
      <c r="L31" s="6">
        <f>G31*J31</f>
        <v>56</v>
      </c>
      <c r="M31" s="6">
        <f>G31*K31</f>
        <v>93.94</v>
      </c>
      <c r="N31" s="6">
        <f>M31-L31</f>
        <v>37.94</v>
      </c>
      <c r="O31" s="5" t="n">
        <v>2</v>
      </c>
      <c r="P31" s="6" t="n">
        <v>62.18</v>
      </c>
      <c r="Q31" s="6">
        <f>IF(O31&gt;0,P31/O31,0)</f>
        <v>31.09</v>
      </c>
      <c r="R31" s="15">
        <f>IF(O31&gt;0,ROUND((D31+E31)/(O31/30),1),"")</f>
        <v>105.0</v>
      </c>
      <c r="S31" s="4" t="inlineStr">
        <is>
          <t>Sem urgência</t>
        </is>
      </c>
      <c r="T31" s="5" t="n">
        <v>0</v>
      </c>
      <c r="U31" s="5" t="n">
        <v>124</v>
      </c>
    </row>
    <row r="32">
      <c r="A32" s="4" t="inlineStr">
        <is>
          <t>5702full</t>
        </is>
      </c>
      <c r="B32" s="4" t="inlineStr">
        <is>
          <t>5702</t>
        </is>
      </c>
      <c r="C32" s="4" t="inlineStr">
        <is>
          <t>Retentor Virabrequim Polia Zetec Rocam 1.0 / 1.4 / 1.6 05702</t>
        </is>
      </c>
      <c r="D32" s="5" t="n">
        <v>0</v>
      </c>
      <c r="E32" s="5" t="n">
        <v>0</v>
      </c>
      <c r="F32" s="5" t="n">
        <v>0</v>
      </c>
      <c r="G32" s="5">
        <f>D32+E32+F32</f>
        <v>0</v>
      </c>
      <c r="H32" s="5" t="n">
        <v>0</v>
      </c>
      <c r="I32" s="5" t="n">
        <v>0</v>
      </c>
      <c r="J32" s="17" t="n">
        <v>50</v>
      </c>
      <c r="K32" s="17" t="n">
        <v>57.36</v>
      </c>
      <c r="L32" s="6">
        <f>G32*J32</f>
        <v>0</v>
      </c>
      <c r="M32" s="6">
        <f>G32*K32</f>
        <v>0.0</v>
      </c>
      <c r="N32" s="6">
        <f>M32-L32</f>
        <v>0.0</v>
      </c>
      <c r="O32" s="5" t="n">
        <v>3</v>
      </c>
      <c r="P32" s="6" t="n">
        <v>239.7</v>
      </c>
      <c r="Q32" s="6">
        <f>IF(O32&gt;0,P32/O32,0)</f>
        <v>79.89999999999999</v>
      </c>
      <c r="R32" s="15">
        <f>IF(O32&gt;0,ROUND((D32+E32)/(O32/30),1),"")</f>
        <v>0.0</v>
      </c>
      <c r="S32" s="4" t="inlineStr">
        <is>
          <t>Urgente</t>
        </is>
      </c>
      <c r="T32" s="5" t="n">
        <v>35</v>
      </c>
      <c r="U32" s="5" t="n">
        <v>3</v>
      </c>
    </row>
    <row r="33">
      <c r="A33" s="18" t="inlineStr">
        <is>
          <t>TOTAL</t>
        </is>
      </c>
      <c r="B33" s="18" t="n"/>
      <c r="C33" s="18" t="n"/>
      <c r="D33" s="19">
        <f>SUM(D2:D32)</f>
        <v>1587</v>
      </c>
      <c r="E33" s="19">
        <f>SUM(E2:E32)</f>
        <v>72</v>
      </c>
      <c r="F33" s="19">
        <f>SUM(F2:F32)</f>
        <v>1</v>
      </c>
      <c r="G33" s="19">
        <f>SUM(G2:G32)</f>
        <v>1660</v>
      </c>
      <c r="H33" s="19">
        <f>SUM(H2:H32)</f>
        <v>648</v>
      </c>
      <c r="I33" s="19">
        <f>SUM(I2:I32)</f>
        <v>34</v>
      </c>
      <c r="J33" s="20" t="n"/>
      <c r="K33" s="20" t="n"/>
      <c r="L33" s="20">
        <f>SUM(L2:L32)</f>
        <v>38792.0</v>
      </c>
      <c r="M33" s="20">
        <f>SUM(M2:M32)</f>
        <v>66464.81</v>
      </c>
      <c r="N33" s="20">
        <f>SUM(N2:N32)</f>
        <v>27672.81</v>
      </c>
      <c r="O33" s="19">
        <f>SUM(O2:O32)</f>
        <v>2563</v>
      </c>
      <c r="P33" s="20">
        <f>SUM(P2:P32)</f>
        <v>177383.28</v>
      </c>
      <c r="Q33" s="20">
        <f>IF(O33&gt;0,P33/O33,0)</f>
        <v>69.20923917284432</v>
      </c>
      <c r="R33" s="21">
        <f>IF(O33&gt;0,ROUND((D33+E33)/(O33/30),1),"")</f>
        <v>19.4</v>
      </c>
      <c r="S33" s="18" t="n"/>
      <c r="T33" s="19">
        <f>SUM(T2:T32)</f>
        <v>141</v>
      </c>
      <c r="U33" s="19">
        <f>SUM(U2:U32)</f>
        <v>6325</v>
      </c>
    </row>
  </sheetData>
  <autoFilter ref="A1:U32"/>
  <conditionalFormatting sqref="R2:R32">
    <cfRule type="cellIs" priority="1" operator="lessThan" dxfId="0">
      <formula>7</formula>
    </cfRule>
    <cfRule type="cellIs" priority="2" operator="greaterThan" dxfId="1">
      <formula>90</formula>
    </cfRule>
  </conditionalFormatting>
  <conditionalFormatting sqref="S2:S32">
    <cfRule type="cellIs" priority="3" operator="equal" dxfId="0">
      <formula>"Urgente"</formula>
    </cfRule>
    <cfRule type="cellIs" priority="4" operator="equal" dxfId="1">
      <formula>"Esta semana"</formula>
    </cfRule>
    <cfRule type="cellIs" priority="5" operator="equal" dxfId="1">
      <formula>"Próxima semana"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2026-09-25T19:25:36Z</dcterms:created>
  <dcterms:modified xsi:type="dcterms:W3CDTF">2026-09-25T19:25:36Z</dcterms:modified>
</cp:coreProperties>
</file>