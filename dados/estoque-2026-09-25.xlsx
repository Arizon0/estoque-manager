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Estoque" sheetId="2" state="visible" r:id="rId2"/>
    <sheet name="Movimentos" sheetId="3" state="visible" r:id="rId3"/>
  </sheets>
  <definedNames>
    <definedName name="_xlnm._FilterDatabase" localSheetId="1" hidden="1">'Estoque'!$A$1:$K$38</definedName>
    <definedName name="_xlnm._FilterDatabase" localSheetId="2" hidden="1">'Movimentos'!$A$1:$I$144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;-R$ #,##0.00;&quot;—&quot;"/>
    <numFmt numFmtId="165" formatCode="yyyy-mm-dd"/>
    <numFmt numFmtId="166" formatCode="DD/MM/YYYY"/>
    <numFmt numFmtId="167" formatCode="+#,##0;-#,##0;0"/>
  </numFmts>
  <fonts count="12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color rgb="FF0000FF"/>
      <sz val="10"/>
    </font>
    <font>
      <name val="Arial"/>
      <b val="1"/>
      <sz val="10"/>
    </font>
    <font>
      <name val="Arial"/>
      <b val="1"/>
      <color rgb="FF0C5B6A"/>
      <sz val="15"/>
    </font>
    <font>
      <name val="Arial"/>
      <i val="1"/>
      <color rgb="FF5D7078"/>
      <sz val="10"/>
    </font>
    <font>
      <name val="Arial"/>
      <sz val="11"/>
    </font>
    <font>
      <name val="Arial"/>
      <b val="1"/>
      <sz val="11"/>
    </font>
    <font>
      <name val="Arial"/>
      <color rgb="FF5D7078"/>
      <sz val="9"/>
    </font>
    <font>
      <name val="Arial"/>
      <b val="1"/>
      <color rgb="FF0C5B6A"/>
      <sz val="12"/>
    </font>
    <font>
      <name val="Arial"/>
      <b val="1"/>
      <color rgb="FF0C5B6A"/>
      <sz val="10"/>
    </font>
  </fonts>
  <fills count="5">
    <fill>
      <patternFill/>
    </fill>
    <fill>
      <patternFill patternType="gray125"/>
    </fill>
    <fill>
      <patternFill patternType="solid">
        <fgColor rgb="FF0C5B6A"/>
      </patternFill>
    </fill>
    <fill>
      <patternFill patternType="solid">
        <fgColor rgb="FFFFF3C4"/>
      </patternFill>
    </fill>
    <fill>
      <patternFill patternType="solid">
        <fgColor rgb="FFF2F5F6"/>
      </patternFill>
    </fill>
  </fills>
  <borders count="3">
    <border>
      <left/>
      <right/>
      <top/>
      <bottom/>
      <diagonal/>
    </border>
    <border>
      <bottom style="thin">
        <color rgb="FFD6E0E4"/>
      </bottom>
    </border>
    <border>
      <top style="medium">
        <color rgb="FF0C5B6A"/>
      </top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3" fontId="8" fillId="0" borderId="1" pivotButton="0" quotePrefix="0" xfId="0"/>
    <xf numFmtId="0" fontId="9" fillId="0" borderId="1" pivotButton="0" quotePrefix="0" xfId="0"/>
    <xf numFmtId="164" fontId="8" fillId="0" borderId="1" pivotButton="0" quotePrefix="0" xfId="0"/>
    <xf numFmtId="0" fontId="10" fillId="0" borderId="0" pivotButton="0" quotePrefix="0" xfId="0"/>
    <xf numFmtId="0" fontId="2" fillId="0" borderId="0" applyAlignment="1" pivotButton="0" quotePrefix="0" xfId="0">
      <alignment vertical="top" wrapText="1"/>
    </xf>
    <xf numFmtId="0" fontId="11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3" fontId="2" fillId="0" borderId="1" pivotButton="0" quotePrefix="0" xfId="0"/>
    <xf numFmtId="3" fontId="3" fillId="3" borderId="1" pivotButton="0" quotePrefix="0" xfId="0"/>
    <xf numFmtId="164" fontId="3" fillId="3" borderId="1" pivotButton="0" quotePrefix="0" xfId="0"/>
    <xf numFmtId="164" fontId="2" fillId="0" borderId="1" pivotButton="0" quotePrefix="0" xfId="0"/>
    <xf numFmtId="0" fontId="4" fillId="4" borderId="2" pivotButton="0" quotePrefix="0" xfId="0"/>
    <xf numFmtId="3" fontId="4" fillId="4" borderId="2" pivotButton="0" quotePrefix="0" xfId="0"/>
    <xf numFmtId="164" fontId="4" fillId="4" borderId="2" pivotButton="0" quotePrefix="0" xfId="0"/>
    <xf numFmtId="166" fontId="2" fillId="0" borderId="1" pivotButton="0" quotePrefix="0" xfId="0"/>
    <xf numFmtId="167" fontId="2" fillId="0" borderId="1" pivotButton="0" quotePrefix="0" xfId="0"/>
  </cellXfs>
  <cellStyles count="1">
    <cellStyle name="Normal" xfId="0" builtinId="0" hidden="0"/>
  </cellStyles>
  <dxfs count="4">
    <dxf>
      <font>
        <name val="Arial"/>
        <b val="1"/>
        <color rgb="FFAF2B23"/>
        <sz val="10"/>
      </font>
      <fill>
        <patternFill patternType="solid">
          <fgColor rgb="FFFAE6E4"/>
        </patternFill>
      </fill>
    </dxf>
    <dxf>
      <font>
        <name val="Arial"/>
        <b val="1"/>
        <color rgb="FF9D5C05"/>
        <sz val="10"/>
      </font>
      <fill>
        <patternFill patternType="solid">
          <fgColor rgb="FFFBEEDA"/>
        </patternFill>
      </fill>
    </dxf>
    <dxf>
      <font>
        <name val="Arial"/>
        <color rgb="FFAF2B23"/>
        <sz val="10"/>
      </font>
    </dxf>
    <dxf>
      <font>
        <name val="Arial"/>
        <color rgb="FF1B7A4F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52" customWidth="1" min="3" max="3"/>
  </cols>
  <sheetData>
    <row r="1">
      <c r="A1" s="1" t="inlineStr">
        <is>
          <t>Estoque Vivo — posição de 25/09/2026</t>
        </is>
      </c>
    </row>
    <row r="2">
      <c r="A2" s="2" t="inlineStr">
        <is>
          <t>Gerado a partir do app de controle de estoque. Os números vêm da aba Estoque.</t>
        </is>
      </c>
    </row>
    <row r="4">
      <c r="A4" s="3" t="inlineStr">
        <is>
          <t>Itens cadastrados</t>
        </is>
      </c>
      <c r="B4" s="4">
        <f>COUNTA(Estoque!A2:A38)</f>
        <v>37</v>
      </c>
      <c r="C4" s="5" t="inlineStr">
        <is>
          <t>Todos os SKUs da contagem do galpão.</t>
        </is>
      </c>
    </row>
    <row r="5">
      <c r="A5" s="3" t="inlineStr">
        <is>
          <t>Unidades em estoque</t>
        </is>
      </c>
      <c r="B5" s="4">
        <f>SUM(Estoque!E2:E38)</f>
        <v>6474</v>
      </c>
      <c r="C5" s="5" t="inlineStr">
        <is>
          <t>Soma de todas as peças.</t>
        </is>
      </c>
    </row>
    <row r="6">
      <c r="A6" s="3" t="inlineStr">
        <is>
          <t>Valor em custo</t>
        </is>
      </c>
      <c r="B6" s="6">
        <f>SUM(Estoque!I2:I38)</f>
        <v>120348.5</v>
      </c>
      <c r="C6" s="5" t="inlineStr">
        <is>
          <t>Valor total do estoque, a preço de custo.</t>
        </is>
      </c>
    </row>
    <row r="7">
      <c r="A7" s="3" t="inlineStr">
        <is>
          <t>Itens sem estoque</t>
        </is>
      </c>
      <c r="B7" s="4">
        <f>COUNTIF(Estoque!J2:J38,"Sem estoque")</f>
        <v>0</v>
      </c>
      <c r="C7" s="5" t="inlineStr">
        <is>
          <t>Saldo zero.</t>
        </is>
      </c>
    </row>
    <row r="8">
      <c r="A8" s="3" t="inlineStr">
        <is>
          <t>Itens abaixo do mínimo</t>
        </is>
      </c>
      <c r="B8" s="4">
        <f>COUNTIF(Estoque!J2:J38,"Abaixo do mínimo")</f>
        <v>0</v>
      </c>
      <c r="C8" s="5" t="inlineStr">
        <is>
          <t>Só acende depois que você preencher o estoque mínimo.</t>
        </is>
      </c>
    </row>
    <row r="9">
      <c r="A9" s="3" t="inlineStr">
        <is>
          <t>Itens com saldo negativo</t>
        </is>
      </c>
      <c r="B9" s="4">
        <f>COUNTIF(Estoque!J2:J38,"Negativo")</f>
        <v>0</v>
      </c>
      <c r="C9" s="5" t="inlineStr">
        <is>
          <t>Indica erro de lançamento — conferir na prateleira.</t>
        </is>
      </c>
    </row>
    <row r="11">
      <c r="A11" s="3" t="inlineStr">
        <is>
          <t>Entradas no histórico</t>
        </is>
      </c>
      <c r="B11" s="4">
        <f>SUMIFS(Movimentos!$F$2:$F$300,Movimentos!$E$2:$E$300,"Entrada")</f>
        <v>1441</v>
      </c>
      <c r="C11" s="5" t="inlineStr">
        <is>
          <t>Mercadoria recebida.</t>
        </is>
      </c>
    </row>
    <row r="12">
      <c r="A12" s="3" t="inlineStr">
        <is>
          <t>Vendas no histórico</t>
        </is>
      </c>
      <c r="B12" s="4">
        <f>-SUMIFS(Movimentos!$F$2:$F$300,Movimentos!$E$2:$E$300,"Venda")</f>
        <v>421</v>
      </c>
      <c r="C12" s="5" t="inlineStr">
        <is>
          <t>Peças baixadas por venda.</t>
        </is>
      </c>
    </row>
    <row r="13">
      <c r="A13" s="3" t="inlineStr">
        <is>
          <t>Transferido ao ML Full</t>
        </is>
      </c>
      <c r="B13" s="4">
        <f>-SUMIFS(Movimentos!$F$2:$F$300,Movimentos!$E$2:$E$300,"Transferência")</f>
        <v>765</v>
      </c>
      <c r="C13" s="5" t="inlineStr">
        <is>
          <t>Saiu do galpão, mas não foi venda.</t>
        </is>
      </c>
    </row>
    <row r="15">
      <c r="A15" s="7" t="inlineStr">
        <is>
          <t>Como usar</t>
        </is>
      </c>
    </row>
    <row r="16" ht="28" customHeight="1">
      <c r="A16" s="8" t="inlineStr">
        <is>
          <t>• As células amarelas da aba Estoque (mínimo, custo e preço de venda) já vêm preenchidas — edite direto ali se algum valor mudar.</t>
        </is>
      </c>
    </row>
    <row r="17" ht="28" customHeight="1">
      <c r="A17" s="8" t="inlineStr">
        <is>
          <t>• Formato dessas colunas: número puro, sem R$ e sem ponto de milhar. Ex.: mínimo 50 · custo 12,90 · preço 27,50.</t>
        </is>
      </c>
    </row>
    <row r="18" ht="28" customHeight="1">
      <c r="A18" s="8" t="inlineStr">
        <is>
          <t>• 9403 STD, 2900 e 8566 STD ainda estão sem preço de venda informado — só o custo.</t>
        </is>
      </c>
    </row>
    <row r="19" ht="28" customHeight="1">
      <c r="A19" s="8" t="inlineStr">
        <is>
          <t>• As colunas Valor em custo, Situação e Vendido (histórico) são fórmulas — não digite nada nelas.</t>
        </is>
      </c>
    </row>
    <row r="20" ht="28" customHeight="1">
      <c r="A20" s="8" t="inlineStr">
        <is>
          <t>• Esta planilha é uma foto do dia 25/09. O saldo que vale é o do app, que atualiza na hora.</t>
        </is>
      </c>
    </row>
    <row r="22">
      <c r="A22" s="9" t="inlineStr">
        <is>
          <t>App do estoque: https://claude.ai/artifact/JiMT1jfH7Vc3MUYtYcDNG7</t>
        </is>
      </c>
    </row>
  </sheetData>
  <mergeCells count="5">
    <mergeCell ref="A19:C19"/>
    <mergeCell ref="A17:C17"/>
    <mergeCell ref="A18:C18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7" customWidth="1" min="4" max="4"/>
    <col width="12" customWidth="1" min="5" max="5"/>
    <col width="14" customWidth="1" min="6" max="6"/>
    <col width="14" customWidth="1" min="7" max="7"/>
    <col width="15" customWidth="1" min="8" max="8"/>
    <col width="17" customWidth="1" min="9" max="9"/>
    <col width="17" customWidth="1" min="10" max="10"/>
    <col width="16" customWidth="1" min="11" max="11"/>
  </cols>
  <sheetData>
    <row r="1" ht="30" customHeight="1">
      <c r="A1" s="10" t="inlineStr">
        <is>
          <t>Item</t>
        </is>
      </c>
      <c r="B1" s="10" t="inlineStr">
        <is>
          <t>Código</t>
        </is>
      </c>
      <c r="C1" s="10" t="inlineStr">
        <is>
          <t>Categoria</t>
        </is>
      </c>
      <c r="D1" s="10" t="inlineStr">
        <is>
          <t>Unid.</t>
        </is>
      </c>
      <c r="E1" s="10" t="inlineStr">
        <is>
          <t>Quantidade</t>
        </is>
      </c>
      <c r="F1" s="10" t="inlineStr">
        <is>
          <t>Estoque mínimo</t>
        </is>
      </c>
      <c r="G1" s="10" t="inlineStr">
        <is>
          <t>Custo unit. (R$)</t>
        </is>
      </c>
      <c r="H1" s="10" t="inlineStr">
        <is>
          <t>Preço venda (R$)</t>
        </is>
      </c>
      <c r="I1" s="10" t="inlineStr">
        <is>
          <t>Valor em custo (R$)</t>
        </is>
      </c>
      <c r="J1" s="10" t="inlineStr">
        <is>
          <t>Situação</t>
        </is>
      </c>
      <c r="K1" s="10" t="inlineStr">
        <is>
          <t>Vendido (histórico)</t>
        </is>
      </c>
    </row>
    <row r="2">
      <c r="A2" s="11" t="inlineStr">
        <is>
          <t>Anel 8126 STD</t>
        </is>
      </c>
      <c r="B2" s="11" t="inlineStr">
        <is>
          <t>8126 STD</t>
        </is>
      </c>
      <c r="C2" s="11" t="inlineStr">
        <is>
          <t>Anéis</t>
        </is>
      </c>
      <c r="D2" s="11" t="inlineStr">
        <is>
          <t>un</t>
        </is>
      </c>
      <c r="E2" s="12" t="n">
        <v>289</v>
      </c>
      <c r="F2" s="13" t="n"/>
      <c r="G2" s="14" t="n">
        <v>75</v>
      </c>
      <c r="H2" s="14" t="n">
        <v>142.25</v>
      </c>
      <c r="I2" s="15">
        <f>E2*G2</f>
        <v>21675</v>
      </c>
      <c t="str" r="J2" s="11">
        <f>IF(E2&lt;0,"Negativo",IF(E2=0,"Sem estoque",IF(AND(F2&gt;0,E2&lt;=F2),"Abaixo do mínimo","OK")))</f>
        <v>OK</v>
      </c>
      <c r="K2" s="12">
        <f>-SUMIFS(Movimentos!$F$2:$F$300,Movimentos!$D$2:$D$300,$B2,Movimentos!$E$2:$E$300,"Venda")</f>
        <v>2</v>
      </c>
    </row>
    <row r="3">
      <c r="A3" s="11" t="inlineStr">
        <is>
          <t>Anel SDA 6631 0,50</t>
        </is>
      </c>
      <c r="B3" s="11" t="inlineStr">
        <is>
          <t>6631 0,50</t>
        </is>
      </c>
      <c r="C3" s="11" t="inlineStr">
        <is>
          <t>Anéis</t>
        </is>
      </c>
      <c r="D3" s="11" t="inlineStr">
        <is>
          <t>un</t>
        </is>
      </c>
      <c r="E3" s="12" t="n">
        <v>99</v>
      </c>
      <c r="F3" s="13" t="n"/>
      <c r="G3" s="14" t="n">
        <v>75</v>
      </c>
      <c r="H3" s="14" t="n">
        <v>148.56</v>
      </c>
      <c r="I3" s="15">
        <f>E3*G3</f>
        <v>7425</v>
      </c>
      <c t="str" r="J3" s="11">
        <f>IF(E3&lt;0,"Negativo",IF(E3=0,"Sem estoque",IF(AND(F3&gt;0,E3&lt;=F3),"Abaixo do mínimo","OK")))</f>
        <v>OK</v>
      </c>
      <c r="K3" s="12">
        <f>-SUMIFS(Movimentos!$F$2:$F$300,Movimentos!$D$2:$D$300,$B3,Movimentos!$E$2:$E$300,"Venda")</f>
        <v>1</v>
      </c>
    </row>
    <row r="4">
      <c r="A4" s="11" t="inlineStr">
        <is>
          <t>Anel SDA 7092</t>
        </is>
      </c>
      <c r="B4" s="11" t="inlineStr">
        <is>
          <t>7092</t>
        </is>
      </c>
      <c r="C4" s="11" t="inlineStr">
        <is>
          <t>Anéis</t>
        </is>
      </c>
      <c r="D4" s="11" t="inlineStr">
        <is>
          <t>un</t>
        </is>
      </c>
      <c r="E4" s="12" t="n">
        <v>22</v>
      </c>
      <c r="F4" s="13" t="n"/>
      <c r="G4" s="14" t="n">
        <v>75</v>
      </c>
      <c r="H4" s="14" t="n">
        <v>127.94</v>
      </c>
      <c r="I4" s="15">
        <f>E4*G4</f>
        <v>1650</v>
      </c>
      <c t="str" r="J4" s="11">
        <f>IF(E4&lt;0,"Negativo",IF(E4=0,"Sem estoque",IF(AND(F4&gt;0,E4&lt;=F4),"Abaixo do mínimo","OK")))</f>
        <v>OK</v>
      </c>
      <c r="K4" s="12">
        <f>-SUMIFS(Movimentos!$F$2:$F$300,Movimentos!$D$2:$D$300,$B4,Movimentos!$E$2:$E$300,"Venda")</f>
        <v>3</v>
      </c>
    </row>
    <row r="5">
      <c r="A5" s="11" t="inlineStr">
        <is>
          <t>Anéis 8126 0,50</t>
        </is>
      </c>
      <c r="B5" s="11" t="inlineStr">
        <is>
          <t>8126 0,50</t>
        </is>
      </c>
      <c r="C5" s="11" t="inlineStr">
        <is>
          <t>Anéis</t>
        </is>
      </c>
      <c r="D5" s="11" t="inlineStr">
        <is>
          <t>un</t>
        </is>
      </c>
      <c r="E5" s="12" t="n">
        <v>1</v>
      </c>
      <c r="F5" s="13" t="n"/>
      <c r="G5" s="14" t="n">
        <v>75</v>
      </c>
      <c r="H5" s="14" t="n">
        <v>144.9</v>
      </c>
      <c r="I5" s="15">
        <f>E5*G5</f>
        <v>75</v>
      </c>
      <c t="str" r="J5" s="11">
        <f>IF(E5&lt;0,"Negativo",IF(E5=0,"Sem estoque",IF(AND(F5&gt;0,E5&lt;=F5),"Abaixo do mínimo","OK")))</f>
        <v>OK</v>
      </c>
      <c r="K5" s="12">
        <f>-SUMIFS(Movimentos!$F$2:$F$300,Movimentos!$D$2:$D$300,$B5,Movimentos!$E$2:$E$300,"Venda")</f>
        <v>3</v>
      </c>
    </row>
    <row r="6">
      <c r="A6" s="11" t="inlineStr">
        <is>
          <t>Anéis 9200 STD</t>
        </is>
      </c>
      <c r="B6" s="11" t="inlineStr">
        <is>
          <t>9200 STD</t>
        </is>
      </c>
      <c r="C6" s="11" t="inlineStr">
        <is>
          <t>Anéis</t>
        </is>
      </c>
      <c r="D6" s="11" t="inlineStr">
        <is>
          <t>un</t>
        </is>
      </c>
      <c r="E6" s="12" t="n">
        <v>7</v>
      </c>
      <c r="F6" s="13" t="n"/>
      <c r="G6" s="14" t="n">
        <v>75</v>
      </c>
      <c r="H6" s="14" t="n">
        <v>156.03</v>
      </c>
      <c r="I6" s="15">
        <f>E6*G6</f>
        <v>525</v>
      </c>
      <c t="str" r="J6" s="11">
        <f>IF(E6&lt;0,"Negativo",IF(E6=0,"Sem estoque",IF(AND(F6&gt;0,E6&lt;=F6),"Abaixo do mínimo","OK")))</f>
        <v>OK</v>
      </c>
      <c r="K6" s="12">
        <f>-SUMIFS(Movimentos!$F$2:$F$300,Movimentos!$D$2:$D$300,$B6,Movimentos!$E$2:$E$300,"Venda")</f>
        <v>11</v>
      </c>
    </row>
    <row r="7">
      <c r="A7" s="11" t="inlineStr">
        <is>
          <t>Anéis 9403 STD</t>
        </is>
      </c>
      <c r="B7" s="11" t="inlineStr">
        <is>
          <t>9403 STD</t>
        </is>
      </c>
      <c r="C7" s="11" t="inlineStr">
        <is>
          <t>Anéis</t>
        </is>
      </c>
      <c r="D7" s="11" t="inlineStr">
        <is>
          <t>un</t>
        </is>
      </c>
      <c r="E7" s="12" t="n">
        <v>20</v>
      </c>
      <c r="F7" s="13" t="n"/>
      <c r="G7" s="14" t="n">
        <v>75</v>
      </c>
      <c r="H7" s="14" t="n"/>
      <c r="I7" s="15">
        <f>E7*G7</f>
        <v>1500</v>
      </c>
      <c t="str" r="J7" s="11">
        <f>IF(E7&lt;0,"Negativo",IF(E7=0,"Sem estoque",IF(AND(F7&gt;0,E7&lt;=F7),"Abaixo do mínimo","OK")))</f>
        <v>OK</v>
      </c>
      <c r="K7" s="12">
        <f>-SUMIFS(Movimentos!$F$2:$F$300,Movimentos!$D$2:$D$300,$B7,Movimentos!$E$2:$E$300,"Venda")</f>
        <v>0</v>
      </c>
    </row>
    <row r="8">
      <c r="A8" s="11" t="inlineStr">
        <is>
          <t>Bronzina de Biela SBB 1035-J 0,25</t>
        </is>
      </c>
      <c r="B8" s="11" t="inlineStr">
        <is>
          <t>1035-J</t>
        </is>
      </c>
      <c r="C8" s="11" t="inlineStr">
        <is>
          <t>Bronzina</t>
        </is>
      </c>
      <c r="D8" s="11" t="inlineStr">
        <is>
          <t>un</t>
        </is>
      </c>
      <c r="E8" s="12" t="n">
        <v>22</v>
      </c>
      <c r="F8" s="13" t="n"/>
      <c r="G8" s="14" t="n">
        <v>32</v>
      </c>
      <c r="H8" s="14" t="n">
        <v>69.25</v>
      </c>
      <c r="I8" s="15">
        <f>E8*G8</f>
        <v>704</v>
      </c>
      <c t="str" r="J8" s="11">
        <f>IF(E8&lt;0,"Negativo",IF(E8=0,"Sem estoque",IF(AND(F8&gt;0,E8&lt;=F8),"Abaixo do mínimo","OK")))</f>
        <v>OK</v>
      </c>
      <c r="K8" s="12">
        <f>-SUMIFS(Movimentos!$F$2:$F$300,Movimentos!$D$2:$D$300,$B8,Movimentos!$E$2:$E$300,"Venda")</f>
        <v>2</v>
      </c>
    </row>
    <row r="9">
      <c r="A9" s="11" t="inlineStr">
        <is>
          <t>Jogo de Anel 7224 0,50</t>
        </is>
      </c>
      <c r="B9" s="11" t="inlineStr">
        <is>
          <t>7224 0,50</t>
        </is>
      </c>
      <c r="C9" s="11" t="inlineStr">
        <is>
          <t>Jogo de Anel</t>
        </is>
      </c>
      <c r="D9" s="11" t="inlineStr">
        <is>
          <t>un</t>
        </is>
      </c>
      <c r="E9" s="12" t="n">
        <v>51</v>
      </c>
      <c r="F9" s="13" t="n"/>
      <c r="G9" s="14" t="n">
        <v>75</v>
      </c>
      <c r="H9" s="14" t="n">
        <v>172.55</v>
      </c>
      <c r="I9" s="15">
        <f>E9*G9</f>
        <v>3825</v>
      </c>
      <c t="str" r="J9" s="11">
        <f>IF(E9&lt;0,"Negativo",IF(E9=0,"Sem estoque",IF(AND(F9&gt;0,E9&lt;=F9),"Abaixo do mínimo","OK")))</f>
        <v>OK</v>
      </c>
      <c r="K9" s="12">
        <f>-SUMIFS(Movimentos!$F$2:$F$300,Movimentos!$D$2:$D$300,$B9,Movimentos!$E$2:$E$300,"Venda")</f>
        <v>3</v>
      </c>
    </row>
    <row r="10">
      <c r="A10" s="11" t="inlineStr">
        <is>
          <t>Jogo de Anel 7224 STD</t>
        </is>
      </c>
      <c r="B10" s="11" t="inlineStr">
        <is>
          <t>7224 STD</t>
        </is>
      </c>
      <c r="C10" s="11" t="inlineStr">
        <is>
          <t>Jogo de Anel</t>
        </is>
      </c>
      <c r="D10" s="11" t="inlineStr">
        <is>
          <t>un</t>
        </is>
      </c>
      <c r="E10" s="12" t="n">
        <v>35</v>
      </c>
      <c r="F10" s="13" t="n"/>
      <c r="G10" s="14" t="n">
        <v>75</v>
      </c>
      <c r="H10" s="14" t="n">
        <v>126.81</v>
      </c>
      <c r="I10" s="15">
        <f>E10*G10</f>
        <v>2625</v>
      </c>
      <c t="str" r="J10" s="11">
        <f>IF(E10&lt;0,"Negativo",IF(E10=0,"Sem estoque",IF(AND(F10&gt;0,E10&lt;=F10),"Abaixo do mínimo","OK")))</f>
        <v>OK</v>
      </c>
      <c r="K10" s="12">
        <f>-SUMIFS(Movimentos!$F$2:$F$300,Movimentos!$D$2:$D$300,$B10,Movimentos!$E$2:$E$300,"Venda")</f>
        <v>8</v>
      </c>
    </row>
    <row r="11">
      <c r="A11" s="11" t="inlineStr">
        <is>
          <t>Retentor 1135</t>
        </is>
      </c>
      <c r="B11" s="11" t="inlineStr">
        <is>
          <t>1135</t>
        </is>
      </c>
      <c r="C11" s="11" t="inlineStr">
        <is>
          <t>Retentor</t>
        </is>
      </c>
      <c r="D11" s="11" t="inlineStr">
        <is>
          <t>un</t>
        </is>
      </c>
      <c r="E11" s="12" t="n">
        <v>116</v>
      </c>
      <c r="F11" s="13" t="n"/>
      <c r="G11" s="14" t="n">
        <v>12</v>
      </c>
      <c r="H11" s="14" t="n">
        <v>31.13</v>
      </c>
      <c r="I11" s="15">
        <f>E11*G11</f>
        <v>1392</v>
      </c>
      <c t="str" r="J11" s="11">
        <f>IF(E11&lt;0,"Negativo",IF(E11=0,"Sem estoque",IF(AND(F11&gt;0,E11&lt;=F11),"Abaixo do mínimo","OK")))</f>
        <v>OK</v>
      </c>
      <c r="K11" s="12">
        <f>-SUMIFS(Movimentos!$F$2:$F$300,Movimentos!$D$2:$D$300,$B11,Movimentos!$E$2:$E$300,"Venda")</f>
        <v>2</v>
      </c>
    </row>
    <row r="12">
      <c r="A12" s="11" t="inlineStr">
        <is>
          <t>Retentor 1942</t>
        </is>
      </c>
      <c r="B12" s="11" t="inlineStr">
        <is>
          <t>1942</t>
        </is>
      </c>
      <c r="C12" s="11" t="inlineStr">
        <is>
          <t>Retentor</t>
        </is>
      </c>
      <c r="D12" s="11" t="inlineStr">
        <is>
          <t>un</t>
        </is>
      </c>
      <c r="E12" s="12" t="n">
        <v>558</v>
      </c>
      <c r="F12" s="13" t="n"/>
      <c r="G12" s="14" t="n">
        <v>8</v>
      </c>
      <c r="H12" s="14" t="n">
        <v>12.32</v>
      </c>
      <c r="I12" s="15">
        <f>E12*G12</f>
        <v>4464</v>
      </c>
      <c t="str" r="J12" s="11">
        <f>IF(E12&lt;0,"Negativo",IF(E12=0,"Sem estoque",IF(AND(F12&gt;0,E12&lt;=F12),"Abaixo do mínimo","OK")))</f>
        <v>OK</v>
      </c>
      <c r="K12" s="12">
        <f>-SUMIFS(Movimentos!$F$2:$F$300,Movimentos!$D$2:$D$300,$B12,Movimentos!$E$2:$E$300,"Venda")</f>
        <v>117</v>
      </c>
    </row>
    <row r="13">
      <c r="A13" s="11" t="inlineStr">
        <is>
          <t>Retentor 2075</t>
        </is>
      </c>
      <c r="B13" s="11" t="inlineStr">
        <is>
          <t>2075</t>
        </is>
      </c>
      <c r="C13" s="11" t="inlineStr">
        <is>
          <t>Retentor</t>
        </is>
      </c>
      <c r="D13" s="11" t="inlineStr">
        <is>
          <t>un</t>
        </is>
      </c>
      <c r="E13" s="12" t="n">
        <v>124</v>
      </c>
      <c r="F13" s="13" t="n"/>
      <c r="G13" s="14" t="n">
        <v>8</v>
      </c>
      <c r="H13" s="14" t="n">
        <v>13.42</v>
      </c>
      <c r="I13" s="15">
        <f>E13*G13</f>
        <v>992</v>
      </c>
      <c t="str" r="J13" s="11">
        <f>IF(E13&lt;0,"Negativo",IF(E13=0,"Sem estoque",IF(AND(F13&gt;0,E13&lt;=F13),"Abaixo do mínimo","OK")))</f>
        <v>OK</v>
      </c>
      <c r="K13" s="12">
        <f>-SUMIFS(Movimentos!$F$2:$F$300,Movimentos!$D$2:$D$300,$B13,Movimentos!$E$2:$E$300,"Venda")</f>
        <v>0</v>
      </c>
    </row>
    <row r="14">
      <c r="A14" s="11" t="inlineStr">
        <is>
          <t>Retentor 2178</t>
        </is>
      </c>
      <c r="B14" s="11" t="inlineStr">
        <is>
          <t>2178</t>
        </is>
      </c>
      <c r="C14" s="11" t="inlineStr">
        <is>
          <t>Retentor</t>
        </is>
      </c>
      <c r="D14" s="11" t="inlineStr">
        <is>
          <t>un</t>
        </is>
      </c>
      <c r="E14" s="12" t="n">
        <v>311</v>
      </c>
      <c r="F14" s="13" t="n"/>
      <c r="G14" s="14" t="n">
        <v>8</v>
      </c>
      <c r="H14" s="14" t="n">
        <v>11.18</v>
      </c>
      <c r="I14" s="15">
        <f>E14*G14</f>
        <v>2488</v>
      </c>
      <c t="str" r="J14" s="11">
        <f>IF(E14&lt;0,"Negativo",IF(E14=0,"Sem estoque",IF(AND(F14&gt;0,E14&lt;=F14),"Abaixo do mínimo","OK")))</f>
        <v>OK</v>
      </c>
      <c r="K14" s="12">
        <f>-SUMIFS(Movimentos!$F$2:$F$300,Movimentos!$D$2:$D$300,$B14,Movimentos!$E$2:$E$300,"Venda")</f>
        <v>41</v>
      </c>
    </row>
    <row r="15">
      <c r="A15" s="11" t="inlineStr">
        <is>
          <t>Retentor 2283</t>
        </is>
      </c>
      <c r="B15" s="11" t="inlineStr">
        <is>
          <t>2283</t>
        </is>
      </c>
      <c r="C15" s="11" t="inlineStr">
        <is>
          <t>Retentor</t>
        </is>
      </c>
      <c r="D15" s="11" t="inlineStr">
        <is>
          <t>un</t>
        </is>
      </c>
      <c r="E15" s="12" t="n">
        <v>268</v>
      </c>
      <c r="F15" s="13" t="n"/>
      <c r="G15" s="14" t="n">
        <v>15</v>
      </c>
      <c r="H15" s="14" t="n">
        <v>28.18</v>
      </c>
      <c r="I15" s="15">
        <f>E15*G15</f>
        <v>4020</v>
      </c>
      <c t="str" r="J15" s="11">
        <f>IF(E15&lt;0,"Negativo",IF(E15=0,"Sem estoque",IF(AND(F15&gt;0,E15&lt;=F15),"Abaixo do mínimo","OK")))</f>
        <v>OK</v>
      </c>
      <c r="K15" s="12">
        <f>-SUMIFS(Movimentos!$F$2:$F$300,Movimentos!$D$2:$D$300,$B15,Movimentos!$E$2:$E$300,"Venda")</f>
        <v>6</v>
      </c>
    </row>
    <row r="16">
      <c r="A16" s="11" t="inlineStr">
        <is>
          <t>Retentor 2317</t>
        </is>
      </c>
      <c r="B16" s="11" t="inlineStr">
        <is>
          <t>2317</t>
        </is>
      </c>
      <c r="C16" s="11" t="inlineStr">
        <is>
          <t>Retentor</t>
        </is>
      </c>
      <c r="D16" s="11" t="inlineStr">
        <is>
          <t>un</t>
        </is>
      </c>
      <c r="E16" s="12" t="n">
        <v>72</v>
      </c>
      <c r="F16" s="13" t="n"/>
      <c r="G16" s="14" t="n">
        <v>8</v>
      </c>
      <c r="H16" s="14" t="n">
        <v>25.62</v>
      </c>
      <c r="I16" s="15">
        <f>E16*G16</f>
        <v>576</v>
      </c>
      <c t="str" r="J16" s="11">
        <f>IF(E16&lt;0,"Negativo",IF(E16=0,"Sem estoque",IF(AND(F16&gt;0,E16&lt;=F16),"Abaixo do mínimo","OK")))</f>
        <v>OK</v>
      </c>
      <c r="K16" s="12">
        <f>-SUMIFS(Movimentos!$F$2:$F$300,Movimentos!$D$2:$D$300,$B16,Movimentos!$E$2:$E$300,"Venda")</f>
        <v>0</v>
      </c>
    </row>
    <row r="17">
      <c r="A17" s="11" t="inlineStr">
        <is>
          <t>Retentor 2370</t>
        </is>
      </c>
      <c r="B17" s="11" t="inlineStr">
        <is>
          <t>2370</t>
        </is>
      </c>
      <c r="C17" s="11" t="inlineStr">
        <is>
          <t>Retentor</t>
        </is>
      </c>
      <c r="D17" s="11" t="inlineStr">
        <is>
          <t>un</t>
        </is>
      </c>
      <c r="E17" s="12" t="n">
        <v>434</v>
      </c>
      <c r="F17" s="13" t="n"/>
      <c r="G17" s="14" t="n">
        <v>7</v>
      </c>
      <c r="H17" s="14" t="n">
        <v>10.3</v>
      </c>
      <c r="I17" s="15">
        <f>E17*G17</f>
        <v>3038</v>
      </c>
      <c t="str" r="J17" s="11">
        <f>IF(E17&lt;0,"Negativo",IF(E17=0,"Sem estoque",IF(AND(F17&gt;0,E17&lt;=F17),"Abaixo do mínimo","OK")))</f>
        <v>OK</v>
      </c>
      <c r="K17" s="12">
        <f>-SUMIFS(Movimentos!$F$2:$F$300,Movimentos!$D$2:$D$300,$B17,Movimentos!$E$2:$E$300,"Venda")</f>
        <v>24</v>
      </c>
    </row>
    <row r="18">
      <c r="A18" s="11" t="inlineStr">
        <is>
          <t>Retentor 2371 (Shopee)</t>
        </is>
      </c>
      <c r="B18" s="11" t="inlineStr">
        <is>
          <t>2371</t>
        </is>
      </c>
      <c r="C18" s="11" t="inlineStr">
        <is>
          <t>Retentor</t>
        </is>
      </c>
      <c r="D18" s="11" t="inlineStr">
        <is>
          <t>un</t>
        </is>
      </c>
      <c r="E18" s="12" t="n">
        <v>359</v>
      </c>
      <c r="F18" s="13" t="n"/>
      <c r="G18" s="14" t="n">
        <v>7</v>
      </c>
      <c r="H18" s="14" t="n">
        <v>20</v>
      </c>
      <c r="I18" s="15">
        <f>E18*G18</f>
        <v>2513</v>
      </c>
      <c t="str" r="J18" s="11">
        <f>IF(E18&lt;0,"Negativo",IF(E18=0,"Sem estoque",IF(AND(F18&gt;0,E18&lt;=F18),"Abaixo do mínimo","OK")))</f>
        <v>OK</v>
      </c>
      <c r="K18" s="12">
        <f>-SUMIFS(Movimentos!$F$2:$F$300,Movimentos!$D$2:$D$300,$B18,Movimentos!$E$2:$E$300,"Venda")</f>
        <v>0</v>
      </c>
    </row>
    <row r="19">
      <c r="A19" s="11" t="inlineStr">
        <is>
          <t>Retentor 2373</t>
        </is>
      </c>
      <c r="B19" s="11" t="inlineStr">
        <is>
          <t>2373</t>
        </is>
      </c>
      <c r="C19" s="11" t="inlineStr">
        <is>
          <t>Retentor</t>
        </is>
      </c>
      <c r="D19" s="11" t="inlineStr">
        <is>
          <t>un</t>
        </is>
      </c>
      <c r="E19" s="12" t="n">
        <v>94</v>
      </c>
      <c r="F19" s="13" t="n"/>
      <c r="G19" s="14" t="n">
        <v>6</v>
      </c>
      <c r="H19" s="14" t="n">
        <v>22.16</v>
      </c>
      <c r="I19" s="15">
        <f>E19*G19</f>
        <v>564</v>
      </c>
      <c t="str" r="J19" s="11">
        <f>IF(E19&lt;0,"Negativo",IF(E19=0,"Sem estoque",IF(AND(F19&gt;0,E19&lt;=F19),"Abaixo do mínimo","OK")))</f>
        <v>OK</v>
      </c>
      <c r="K19" s="12">
        <f>-SUMIFS(Movimentos!$F$2:$F$300,Movimentos!$D$2:$D$300,$B19,Movimentos!$E$2:$E$300,"Venda")</f>
        <v>7</v>
      </c>
    </row>
    <row r="20">
      <c r="A20" s="11" t="inlineStr">
        <is>
          <t>Retentor 2374</t>
        </is>
      </c>
      <c r="B20" s="11" t="inlineStr">
        <is>
          <t>2374</t>
        </is>
      </c>
      <c r="C20" s="11" t="inlineStr">
        <is>
          <t>Retentor</t>
        </is>
      </c>
      <c r="D20" s="11" t="inlineStr">
        <is>
          <t>un</t>
        </is>
      </c>
      <c r="E20" s="12" t="n">
        <v>297</v>
      </c>
      <c r="F20" s="13" t="n"/>
      <c r="G20" s="14" t="n">
        <v>8</v>
      </c>
      <c r="H20" s="14" t="n">
        <v>16.89</v>
      </c>
      <c r="I20" s="15">
        <f>E20*G20</f>
        <v>2376</v>
      </c>
      <c t="str" r="J20" s="11">
        <f>IF(E20&lt;0,"Negativo",IF(E20=0,"Sem estoque",IF(AND(F20&gt;0,E20&lt;=F20),"Abaixo do mínimo","OK")))</f>
        <v>OK</v>
      </c>
      <c r="K20" s="12">
        <f>-SUMIFS(Movimentos!$F$2:$F$300,Movimentos!$D$2:$D$300,$B20,Movimentos!$E$2:$E$300,"Venda")</f>
        <v>5</v>
      </c>
    </row>
    <row r="21">
      <c r="A21" s="11" t="inlineStr">
        <is>
          <t>Retentor 2400</t>
        </is>
      </c>
      <c r="B21" s="11" t="inlineStr">
        <is>
          <t>2400</t>
        </is>
      </c>
      <c r="C21" s="11" t="inlineStr">
        <is>
          <t>Retentor</t>
        </is>
      </c>
      <c r="D21" s="11" t="inlineStr">
        <is>
          <t>un</t>
        </is>
      </c>
      <c r="E21" s="12" t="n">
        <v>101</v>
      </c>
      <c r="F21" s="13" t="n"/>
      <c r="G21" s="14" t="n">
        <v>14</v>
      </c>
      <c r="H21" s="14" t="n">
        <v>29.43</v>
      </c>
      <c r="I21" s="15">
        <f>E21*G21</f>
        <v>1414</v>
      </c>
      <c t="str" r="J21" s="11">
        <f>IF(E21&lt;0,"Negativo",IF(E21=0,"Sem estoque",IF(AND(F21&gt;0,E21&lt;=F21),"Abaixo do mínimo","OK")))</f>
        <v>OK</v>
      </c>
      <c r="K21" s="12">
        <f>-SUMIFS(Movimentos!$F$2:$F$300,Movimentos!$D$2:$D$300,$B21,Movimentos!$E$2:$E$300,"Venda")</f>
        <v>0</v>
      </c>
    </row>
    <row r="22">
      <c r="A22" s="11" t="inlineStr">
        <is>
          <t>Retentor 2525</t>
        </is>
      </c>
      <c r="B22" s="11" t="inlineStr">
        <is>
          <t>2525</t>
        </is>
      </c>
      <c r="C22" s="11" t="inlineStr">
        <is>
          <t>Retentor</t>
        </is>
      </c>
      <c r="D22" s="11" t="inlineStr">
        <is>
          <t>un</t>
        </is>
      </c>
      <c r="E22" s="12" t="n">
        <v>599</v>
      </c>
      <c r="F22" s="13" t="n"/>
      <c r="G22" s="14" t="n">
        <v>8</v>
      </c>
      <c r="H22" s="14" t="n">
        <v>13.23</v>
      </c>
      <c r="I22" s="15">
        <f>E22*G22</f>
        <v>4792</v>
      </c>
      <c t="str" r="J22" s="11">
        <f>IF(E22&lt;0,"Negativo",IF(E22=0,"Sem estoque",IF(AND(F22&gt;0,E22&lt;=F22),"Abaixo do mínimo","OK")))</f>
        <v>OK</v>
      </c>
      <c r="K22" s="12">
        <f>-SUMIFS(Movimentos!$F$2:$F$300,Movimentos!$D$2:$D$300,$B22,Movimentos!$E$2:$E$300,"Venda")</f>
        <v>1</v>
      </c>
    </row>
    <row r="23">
      <c r="A23" s="11" t="inlineStr">
        <is>
          <t>Retentor 2539</t>
        </is>
      </c>
      <c r="B23" s="11" t="inlineStr">
        <is>
          <t>2539</t>
        </is>
      </c>
      <c r="C23" s="11" t="inlineStr">
        <is>
          <t>Retentor</t>
        </is>
      </c>
      <c r="D23" s="11" t="inlineStr">
        <is>
          <t>un</t>
        </is>
      </c>
      <c r="E23" s="12" t="n">
        <v>35</v>
      </c>
      <c r="F23" s="13" t="n"/>
      <c r="G23" s="14" t="n">
        <v>8</v>
      </c>
      <c r="H23" s="14" t="n">
        <v>21.5</v>
      </c>
      <c r="I23" s="15">
        <f>E23*G23</f>
        <v>280</v>
      </c>
      <c t="str" r="J23" s="11">
        <f>IF(E23&lt;0,"Negativo",IF(E23=0,"Sem estoque",IF(AND(F23&gt;0,E23&lt;=F23),"Abaixo do mínimo","OK")))</f>
        <v>OK</v>
      </c>
      <c r="K23" s="12">
        <f>-SUMIFS(Movimentos!$F$2:$F$300,Movimentos!$D$2:$D$300,$B23,Movimentos!$E$2:$E$300,"Venda")</f>
        <v>0</v>
      </c>
    </row>
    <row r="24">
      <c r="A24" s="11" t="inlineStr">
        <is>
          <t>Retentor 2544</t>
        </is>
      </c>
      <c r="B24" s="11" t="inlineStr">
        <is>
          <t>2544</t>
        </is>
      </c>
      <c r="C24" s="11" t="inlineStr">
        <is>
          <t>Retentor</t>
        </is>
      </c>
      <c r="D24" s="11" t="inlineStr">
        <is>
          <t>un</t>
        </is>
      </c>
      <c r="E24" s="12" t="n">
        <v>211</v>
      </c>
      <c r="F24" s="13" t="n"/>
      <c r="G24" s="14" t="n">
        <v>12</v>
      </c>
      <c r="H24" s="14" t="n">
        <v>18.31</v>
      </c>
      <c r="I24" s="15">
        <f>E24*G24</f>
        <v>2532</v>
      </c>
      <c t="str" r="J24" s="11">
        <f>IF(E24&lt;0,"Negativo",IF(E24=0,"Sem estoque",IF(AND(F24&gt;0,E24&lt;=F24),"Abaixo do mínimo","OK")))</f>
        <v>OK</v>
      </c>
      <c r="K24" s="12">
        <f>-SUMIFS(Movimentos!$F$2:$F$300,Movimentos!$D$2:$D$300,$B24,Movimentos!$E$2:$E$300,"Venda")</f>
        <v>13</v>
      </c>
    </row>
    <row r="25">
      <c r="A25" s="11" t="inlineStr">
        <is>
          <t>Retentor 3044</t>
        </is>
      </c>
      <c r="B25" s="11" t="inlineStr">
        <is>
          <t>3044</t>
        </is>
      </c>
      <c r="C25" s="11" t="inlineStr">
        <is>
          <t>Retentor</t>
        </is>
      </c>
      <c r="D25" s="11" t="inlineStr">
        <is>
          <t>un</t>
        </is>
      </c>
      <c r="E25" s="12" t="n">
        <v>483</v>
      </c>
      <c r="F25" s="13" t="n"/>
      <c r="G25" s="14" t="n">
        <v>8.5</v>
      </c>
      <c r="H25" s="14" t="n">
        <v>13.38</v>
      </c>
      <c r="I25" s="15">
        <f>E25*G25</f>
        <v>4105.5</v>
      </c>
      <c t="str" r="J25" s="11">
        <f>IF(E25&lt;0,"Negativo",IF(E25=0,"Sem estoque",IF(AND(F25&gt;0,E25&lt;=F25),"Abaixo do mínimo","OK")))</f>
        <v>OK</v>
      </c>
      <c r="K25" s="12">
        <f>-SUMIFS(Movimentos!$F$2:$F$300,Movimentos!$D$2:$D$300,$B25,Movimentos!$E$2:$E$300,"Venda")</f>
        <v>15</v>
      </c>
    </row>
    <row r="26">
      <c r="A26" s="11" t="inlineStr">
        <is>
          <t>Retentor 5159</t>
        </is>
      </c>
      <c r="B26" s="11" t="inlineStr">
        <is>
          <t>5159</t>
        </is>
      </c>
      <c r="C26" s="11" t="inlineStr">
        <is>
          <t>Retentor</t>
        </is>
      </c>
      <c r="D26" s="11" t="inlineStr">
        <is>
          <t>un</t>
        </is>
      </c>
      <c r="E26" s="12" t="n">
        <v>892</v>
      </c>
      <c r="F26" s="13" t="n"/>
      <c r="G26" s="14" t="n">
        <v>8</v>
      </c>
      <c r="H26" s="14" t="n">
        <v>13.36</v>
      </c>
      <c r="I26" s="15">
        <f>E26*G26</f>
        <v>7136</v>
      </c>
      <c t="str" r="J26" s="11">
        <f>IF(E26&lt;0,"Negativo",IF(E26=0,"Sem estoque",IF(AND(F26&gt;0,E26&lt;=F26),"Abaixo do mínimo","OK")))</f>
        <v>OK</v>
      </c>
      <c r="K26" s="12">
        <f>-SUMIFS(Movimentos!$F$2:$F$300,Movimentos!$D$2:$D$300,$B26,Movimentos!$E$2:$E$300,"Venda")</f>
        <v>19</v>
      </c>
    </row>
    <row r="27">
      <c r="A27" s="11" t="inlineStr">
        <is>
          <t>Retentor 5245</t>
        </is>
      </c>
      <c r="B27" s="11" t="inlineStr">
        <is>
          <t>5245</t>
        </is>
      </c>
      <c r="C27" s="11" t="inlineStr">
        <is>
          <t>Retentor</t>
        </is>
      </c>
      <c r="D27" s="11" t="inlineStr">
        <is>
          <t>un</t>
        </is>
      </c>
      <c r="E27" s="12" t="n">
        <v>50</v>
      </c>
      <c r="F27" s="13" t="n"/>
      <c r="G27" s="14" t="n">
        <v>55</v>
      </c>
      <c r="H27" s="14" t="n">
        <v>68.34999999999999</v>
      </c>
      <c r="I27" s="15">
        <f>E27*G27</f>
        <v>2750</v>
      </c>
      <c t="str" r="J27" s="11">
        <f>IF(E27&lt;0,"Negativo",IF(E27=0,"Sem estoque",IF(AND(F27&gt;0,E27&lt;=F27),"Abaixo do mínimo","OK")))</f>
        <v>OK</v>
      </c>
      <c r="K27" s="12">
        <f>-SUMIFS(Movimentos!$F$2:$F$300,Movimentos!$D$2:$D$300,$B27,Movimentos!$E$2:$E$300,"Venda")</f>
        <v>9</v>
      </c>
    </row>
    <row r="28">
      <c r="A28" s="11" t="inlineStr">
        <is>
          <t>Retentor 5266</t>
        </is>
      </c>
      <c r="B28" s="11" t="inlineStr">
        <is>
          <t>5266</t>
        </is>
      </c>
      <c r="C28" s="11" t="inlineStr">
        <is>
          <t>Retentor</t>
        </is>
      </c>
      <c r="D28" s="11" t="inlineStr">
        <is>
          <t>un</t>
        </is>
      </c>
      <c r="E28" s="12" t="n">
        <v>15</v>
      </c>
      <c r="F28" s="13" t="n"/>
      <c r="G28" s="14" t="n">
        <v>8</v>
      </c>
      <c r="H28" s="14" t="n">
        <v>25.62</v>
      </c>
      <c r="I28" s="15">
        <f>E28*G28</f>
        <v>120</v>
      </c>
      <c t="str" r="J28" s="11">
        <f>IF(E28&lt;0,"Negativo",IF(E28=0,"Sem estoque",IF(AND(F28&gt;0,E28&lt;=F28),"Abaixo do mínimo","OK")))</f>
        <v>OK</v>
      </c>
      <c r="K28" s="12">
        <f>-SUMIFS(Movimentos!$F$2:$F$300,Movimentos!$D$2:$D$300,$B28,Movimentos!$E$2:$E$300,"Venda")</f>
        <v>8</v>
      </c>
    </row>
    <row r="29">
      <c r="A29" s="11" t="inlineStr">
        <is>
          <t>Retentor 5338</t>
        </is>
      </c>
      <c r="B29" s="11" t="inlineStr">
        <is>
          <t>5338</t>
        </is>
      </c>
      <c r="C29" s="11" t="inlineStr">
        <is>
          <t>Retentor</t>
        </is>
      </c>
      <c r="D29" s="11" t="inlineStr">
        <is>
          <t>un</t>
        </is>
      </c>
      <c r="E29" s="12" t="n">
        <v>122</v>
      </c>
      <c r="F29" s="13" t="n"/>
      <c r="G29" s="14" t="n">
        <v>60</v>
      </c>
      <c r="H29" s="14" t="n">
        <v>88.68000000000001</v>
      </c>
      <c r="I29" s="15">
        <f>E29*G29</f>
        <v>7320</v>
      </c>
      <c t="str" r="J29" s="11">
        <f>IF(E29&lt;0,"Negativo",IF(E29=0,"Sem estoque",IF(AND(F29&gt;0,E29&lt;=F29),"Abaixo do mínimo","OK")))</f>
        <v>OK</v>
      </c>
      <c r="K29" s="12">
        <f>-SUMIFS(Movimentos!$F$2:$F$300,Movimentos!$D$2:$D$300,$B29,Movimentos!$E$2:$E$300,"Venda")</f>
        <v>30</v>
      </c>
    </row>
    <row r="30">
      <c r="A30" s="11" t="inlineStr">
        <is>
          <t>Retentor 5502</t>
        </is>
      </c>
      <c r="B30" s="11" t="inlineStr">
        <is>
          <t>5502</t>
        </is>
      </c>
      <c r="C30" s="11" t="inlineStr">
        <is>
          <t>Retentor</t>
        </is>
      </c>
      <c r="D30" s="11" t="inlineStr">
        <is>
          <t>un</t>
        </is>
      </c>
      <c r="E30" s="12" t="n">
        <v>44</v>
      </c>
      <c r="F30" s="13" t="n"/>
      <c r="G30" s="14" t="n">
        <v>70</v>
      </c>
      <c r="H30" s="14" t="n">
        <v>119.3</v>
      </c>
      <c r="I30" s="15">
        <f>E30*G30</f>
        <v>3080</v>
      </c>
      <c t="str" r="J30" s="11">
        <f>IF(E30&lt;0,"Negativo",IF(E30=0,"Sem estoque",IF(AND(F30&gt;0,E30&lt;=F30),"Abaixo do mínimo","OK")))</f>
        <v>OK</v>
      </c>
      <c r="K30" s="12">
        <f>-SUMIFS(Movimentos!$F$2:$F$300,Movimentos!$D$2:$D$300,$B30,Movimentos!$E$2:$E$300,"Venda")</f>
        <v>1</v>
      </c>
    </row>
    <row r="31">
      <c r="A31" s="11" t="inlineStr">
        <is>
          <t>Retentor 5601</t>
        </is>
      </c>
      <c r="B31" s="11" t="inlineStr">
        <is>
          <t>5601</t>
        </is>
      </c>
      <c r="C31" s="11" t="inlineStr">
        <is>
          <t>Retentor</t>
        </is>
      </c>
      <c r="D31" s="11" t="inlineStr">
        <is>
          <t>un</t>
        </is>
      </c>
      <c r="E31" s="12" t="n">
        <v>148</v>
      </c>
      <c r="F31" s="13" t="n"/>
      <c r="G31" s="14" t="n">
        <v>25</v>
      </c>
      <c r="H31" s="14" t="n">
        <v>38.88</v>
      </c>
      <c r="I31" s="15">
        <f>E31*G31</f>
        <v>3700</v>
      </c>
      <c t="str" r="J31" s="11">
        <f>IF(E31&lt;0,"Negativo",IF(E31=0,"Sem estoque",IF(AND(F31&gt;0,E31&lt;=F31),"Abaixo do mínimo","OK")))</f>
        <v>OK</v>
      </c>
      <c r="K31" s="12">
        <f>-SUMIFS(Movimentos!$F$2:$F$300,Movimentos!$D$2:$D$300,$B31,Movimentos!$E$2:$E$300,"Venda")</f>
        <v>7</v>
      </c>
    </row>
    <row r="32">
      <c r="A32" s="11" t="inlineStr">
        <is>
          <t>Retentor 5699</t>
        </is>
      </c>
      <c r="B32" s="11" t="inlineStr">
        <is>
          <t>5699</t>
        </is>
      </c>
      <c r="C32" s="11" t="inlineStr">
        <is>
          <t>Retentor</t>
        </is>
      </c>
      <c r="D32" s="11" t="inlineStr">
        <is>
          <t>un</t>
        </is>
      </c>
      <c r="E32" s="12" t="n">
        <v>27</v>
      </c>
      <c r="F32" s="13" t="n"/>
      <c r="G32" s="14" t="n">
        <v>95</v>
      </c>
      <c r="H32" s="14" t="n">
        <v>231.86</v>
      </c>
      <c r="I32" s="15">
        <f>E32*G32</f>
        <v>2565</v>
      </c>
      <c t="str" r="J32" s="11">
        <f>IF(E32&lt;0,"Negativo",IF(E32=0,"Sem estoque",IF(AND(F32&gt;0,E32&lt;=F32),"Abaixo do mínimo","OK")))</f>
        <v>OK</v>
      </c>
      <c r="K32" s="12">
        <f>-SUMIFS(Movimentos!$F$2:$F$300,Movimentos!$D$2:$D$300,$B32,Movimentos!$E$2:$E$300,"Venda")</f>
        <v>2</v>
      </c>
    </row>
    <row r="33">
      <c r="A33" s="11" t="inlineStr">
        <is>
          <t>Retentor 5702</t>
        </is>
      </c>
      <c r="B33" s="11" t="inlineStr">
        <is>
          <t>5702</t>
        </is>
      </c>
      <c r="C33" s="11" t="inlineStr">
        <is>
          <t>Retentor</t>
        </is>
      </c>
      <c r="D33" s="11" t="inlineStr">
        <is>
          <t>un</t>
        </is>
      </c>
      <c r="E33" s="12" t="n">
        <v>3</v>
      </c>
      <c r="F33" s="13" t="n"/>
      <c r="G33" s="14" t="n">
        <v>50</v>
      </c>
      <c r="H33" s="14" t="n">
        <v>57.36</v>
      </c>
      <c r="I33" s="15">
        <f>E33*G33</f>
        <v>150</v>
      </c>
      <c t="str" r="J33" s="11">
        <f>IF(E33&lt;0,"Negativo",IF(E33=0,"Sem estoque",IF(AND(F33&gt;0,E33&lt;=F33),"Abaixo do mínimo","OK")))</f>
        <v>OK</v>
      </c>
      <c r="K33" s="12">
        <f>-SUMIFS(Movimentos!$F$2:$F$300,Movimentos!$D$2:$D$300,$B33,Movimentos!$E$2:$E$300,"Venda")</f>
        <v>0</v>
      </c>
    </row>
    <row r="34">
      <c r="A34" s="11" t="inlineStr">
        <is>
          <t>Retentor 5772</t>
        </is>
      </c>
      <c r="B34" s="11" t="inlineStr">
        <is>
          <t>5772</t>
        </is>
      </c>
      <c r="C34" s="11" t="inlineStr">
        <is>
          <t>Retentor</t>
        </is>
      </c>
      <c r="D34" s="11" t="inlineStr">
        <is>
          <t>un</t>
        </is>
      </c>
      <c r="E34" s="12" t="n">
        <v>148</v>
      </c>
      <c r="F34" s="13" t="n"/>
      <c r="G34" s="14" t="n">
        <v>50</v>
      </c>
      <c r="H34" s="14" t="n">
        <v>70.29000000000001</v>
      </c>
      <c r="I34" s="15">
        <f>E34*G34</f>
        <v>7400</v>
      </c>
      <c t="str" r="J34" s="11">
        <f>IF(E34&lt;0,"Negativo",IF(E34=0,"Sem estoque",IF(AND(F34&gt;0,E34&lt;=F34),"Abaixo do mínimo","OK")))</f>
        <v>OK</v>
      </c>
      <c r="K34" s="12">
        <f>-SUMIFS(Movimentos!$F$2:$F$300,Movimentos!$D$2:$D$300,$B34,Movimentos!$E$2:$E$300,"Venda")</f>
        <v>24</v>
      </c>
    </row>
    <row r="35">
      <c r="A35" s="11" t="inlineStr">
        <is>
          <t>Retentor 5801</t>
        </is>
      </c>
      <c r="B35" s="11" t="inlineStr">
        <is>
          <t>5801</t>
        </is>
      </c>
      <c r="C35" s="11" t="inlineStr">
        <is>
          <t>Retentor</t>
        </is>
      </c>
      <c r="D35" s="11" t="inlineStr">
        <is>
          <t>un</t>
        </is>
      </c>
      <c r="E35" s="12" t="n">
        <v>29</v>
      </c>
      <c r="F35" s="13" t="n"/>
      <c r="G35" s="14" t="n">
        <v>85</v>
      </c>
      <c r="H35" s="14" t="n">
        <v>145.76</v>
      </c>
      <c r="I35" s="15">
        <f>E35*G35</f>
        <v>2465</v>
      </c>
      <c t="str" r="J35" s="11">
        <f>IF(E35&lt;0,"Negativo",IF(E35=0,"Sem estoque",IF(AND(F35&gt;0,E35&lt;=F35),"Abaixo do mínimo","OK")))</f>
        <v>OK</v>
      </c>
      <c r="K35" s="12">
        <f>-SUMIFS(Movimentos!$F$2:$F$300,Movimentos!$D$2:$D$300,$B35,Movimentos!$E$2:$E$300,"Venda")</f>
        <v>0</v>
      </c>
    </row>
    <row r="36">
      <c r="A36" s="11" t="inlineStr">
        <is>
          <t>Vedadores 9203</t>
        </is>
      </c>
      <c r="B36" s="11" t="inlineStr">
        <is>
          <t>9203</t>
        </is>
      </c>
      <c r="C36" s="11" t="inlineStr">
        <is>
          <t>Vedador</t>
        </is>
      </c>
      <c r="D36" s="11" t="inlineStr">
        <is>
          <t>un</t>
        </is>
      </c>
      <c r="E36" s="12" t="n">
        <v>318</v>
      </c>
      <c r="F36" s="13" t="n"/>
      <c r="G36" s="14" t="n">
        <v>9</v>
      </c>
      <c r="H36" s="14" t="n">
        <v>13.36</v>
      </c>
      <c r="I36" s="15">
        <f>E36*G36</f>
        <v>2862</v>
      </c>
      <c t="str" r="J36" s="11">
        <f>IF(E36&lt;0,"Negativo",IF(E36=0,"Sem estoque",IF(AND(F36&gt;0,E36&lt;=F36),"Abaixo do mínimo","OK")))</f>
        <v>OK</v>
      </c>
      <c r="K36" s="12">
        <f>-SUMIFS(Movimentos!$F$2:$F$300,Movimentos!$D$2:$D$300,$B36,Movimentos!$E$2:$E$300,"Venda")</f>
        <v>57</v>
      </c>
    </row>
    <row r="37">
      <c r="A37" s="11" t="inlineStr">
        <is>
          <t>2900</t>
        </is>
      </c>
      <c r="B37" s="11" t="inlineStr">
        <is>
          <t>2900</t>
        </is>
      </c>
      <c r="C37" s="11" t="inlineStr"/>
      <c r="D37" s="11" t="inlineStr">
        <is>
          <t>un</t>
        </is>
      </c>
      <c r="E37" s="12" t="n">
        <v>50</v>
      </c>
      <c r="F37" s="13" t="n"/>
      <c r="G37" s="14" t="n">
        <v>75</v>
      </c>
      <c r="H37" s="14" t="n"/>
      <c r="I37" s="15">
        <f>E37*G37</f>
        <v>3750</v>
      </c>
      <c t="str" r="J37" s="11">
        <f>IF(E37&lt;0,"Negativo",IF(E37=0,"Sem estoque",IF(AND(F37&gt;0,E37&lt;=F37),"Abaixo do mínimo","OK")))</f>
        <v>OK</v>
      </c>
      <c r="K37" s="12">
        <f>-SUMIFS(Movimentos!$F$2:$F$300,Movimentos!$D$2:$D$300,$B37,Movimentos!$E$2:$E$300,"Venda")</f>
        <v>0</v>
      </c>
    </row>
    <row r="38">
      <c r="A38" s="11" t="inlineStr">
        <is>
          <t>8566 STD</t>
        </is>
      </c>
      <c r="B38" s="11" t="inlineStr">
        <is>
          <t>8566 STD</t>
        </is>
      </c>
      <c r="C38" s="11" t="inlineStr"/>
      <c r="D38" s="11" t="inlineStr">
        <is>
          <t>un</t>
        </is>
      </c>
      <c r="E38" s="12" t="n">
        <v>20</v>
      </c>
      <c r="F38" s="13" t="n"/>
      <c r="G38" s="14" t="n">
        <v>75</v>
      </c>
      <c r="H38" s="14" t="n"/>
      <c r="I38" s="15">
        <f>E38*G38</f>
        <v>1500</v>
      </c>
      <c t="str" r="J38" s="11">
        <f>IF(E38&lt;0,"Negativo",IF(E38=0,"Sem estoque",IF(AND(F38&gt;0,E38&lt;=F38),"Abaixo do mínimo","OK")))</f>
        <v>OK</v>
      </c>
      <c r="K38" s="12">
        <f>-SUMIFS(Movimentos!$F$2:$F$300,Movimentos!$D$2:$D$300,$B38,Movimentos!$E$2:$E$300,"Venda")</f>
        <v>0</v>
      </c>
    </row>
    <row r="39">
      <c r="A39" s="16" t="inlineStr">
        <is>
          <t>TOTAL</t>
        </is>
      </c>
      <c r="E39" s="17">
        <f>SUM(E2:E38)</f>
        <v>6474</v>
      </c>
      <c r="I39" s="18">
        <f>SUM(I2:I38)</f>
        <v>120348.5</v>
      </c>
      <c r="K39" s="17">
        <f>SUM(K2:K38)</f>
        <v>421</v>
      </c>
    </row>
  </sheetData>
  <autoFilter ref="A1:K38"/>
  <conditionalFormatting sqref="J2:J38">
    <cfRule type="cellIs" priority="1" operator="equal" dxfId="0">
      <formula>"Sem estoque"</formula>
    </cfRule>
    <cfRule type="cellIs" priority="2" operator="equal" dxfId="0">
      <formula>"Negativo"</formula>
    </cfRule>
    <cfRule type="cellIs" priority="3" operator="equal" dxfId="1">
      <formula>"Abaixo do mínimo"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4" customWidth="1" min="3" max="3"/>
    <col width="12" customWidth="1" min="4" max="4"/>
    <col width="18" customWidth="1" min="5" max="5"/>
    <col width="12" customWidth="1" min="6" max="6"/>
    <col width="12" customWidth="1" min="7" max="7"/>
    <col width="34" customWidth="1" min="8" max="8"/>
    <col width="14" customWidth="1" min="9" max="9"/>
  </cols>
  <sheetData>
    <row r="1" ht="30" customHeight="1">
      <c r="A1" s="10" t="inlineStr">
        <is>
          <t>Data</t>
        </is>
      </c>
      <c r="B1" s="10" t="inlineStr">
        <is>
          <t>Hora</t>
        </is>
      </c>
      <c r="C1" s="10" t="inlineStr">
        <is>
          <t>Item</t>
        </is>
      </c>
      <c r="D1" s="10" t="inlineStr">
        <is>
          <t>Código</t>
        </is>
      </c>
      <c r="E1" s="10" t="inlineStr">
        <is>
          <t>Tipo</t>
        </is>
      </c>
      <c r="F1" s="10" t="inlineStr">
        <is>
          <t>Quantidade</t>
        </is>
      </c>
      <c r="G1" s="10" t="inlineStr">
        <is>
          <t>Saldo após</t>
        </is>
      </c>
      <c r="H1" s="10" t="inlineStr">
        <is>
          <t>Observação</t>
        </is>
      </c>
      <c r="I1" s="10" t="inlineStr">
        <is>
          <t>Origem</t>
        </is>
      </c>
    </row>
    <row r="2">
      <c r="A2" s="19" t="n">
        <v>46283</v>
      </c>
      <c r="B2" s="11" t="inlineStr">
        <is>
          <t>08:00</t>
        </is>
      </c>
      <c r="C2" s="11" t="inlineStr">
        <is>
          <t>Anéis 8126 0,50</t>
        </is>
      </c>
      <c r="D2" s="11" t="inlineStr">
        <is>
          <t>8126 0,50</t>
        </is>
      </c>
      <c r="E2" s="11" t="inlineStr">
        <is>
          <t>Correção de saldo</t>
        </is>
      </c>
      <c r="F2" s="20" t="n">
        <v>3</v>
      </c>
      <c r="G2" s="12" t="n">
        <v>3</v>
      </c>
      <c r="H2" s="11" t="inlineStr">
        <is>
          <t>Contagem física do galpão</t>
        </is>
      </c>
      <c r="I2" s="11" t="inlineStr">
        <is>
          <t>Relatório</t>
        </is>
      </c>
    </row>
    <row r="3">
      <c r="A3" s="19" t="n">
        <v>46283</v>
      </c>
      <c r="B3" s="11" t="inlineStr">
        <is>
          <t>08:00</t>
        </is>
      </c>
      <c r="C3" s="11" t="inlineStr">
        <is>
          <t>Anéis 9200 STD</t>
        </is>
      </c>
      <c r="D3" s="11" t="inlineStr">
        <is>
          <t>9200 STD</t>
        </is>
      </c>
      <c r="E3" s="11" t="inlineStr">
        <is>
          <t>Correção de saldo</t>
        </is>
      </c>
      <c r="F3" s="20" t="n">
        <v>18</v>
      </c>
      <c r="G3" s="12" t="n">
        <v>18</v>
      </c>
      <c r="H3" s="11" t="inlineStr">
        <is>
          <t>Contagem física do galpão</t>
        </is>
      </c>
      <c r="I3" s="11" t="inlineStr">
        <is>
          <t>Relatório</t>
        </is>
      </c>
    </row>
    <row r="4">
      <c r="A4" s="19" t="n">
        <v>46283</v>
      </c>
      <c r="B4" s="11" t="inlineStr">
        <is>
          <t>08:00</t>
        </is>
      </c>
      <c r="C4" s="11" t="inlineStr">
        <is>
          <t>Anéis 9403 STD</t>
        </is>
      </c>
      <c r="D4" s="11" t="inlineStr">
        <is>
          <t>9403 STD</t>
        </is>
      </c>
      <c r="E4" s="11" t="inlineStr">
        <is>
          <t>Correção de saldo</t>
        </is>
      </c>
      <c r="F4" s="20" t="n">
        <v>20</v>
      </c>
      <c r="G4" s="12" t="n">
        <v>20</v>
      </c>
      <c r="H4" s="11" t="inlineStr">
        <is>
          <t>Contagem física do galpão</t>
        </is>
      </c>
      <c r="I4" s="11" t="inlineStr">
        <is>
          <t>Relatório</t>
        </is>
      </c>
    </row>
    <row r="5">
      <c r="A5" s="19" t="n">
        <v>46283</v>
      </c>
      <c r="B5" s="11" t="inlineStr">
        <is>
          <t>08:00</t>
        </is>
      </c>
      <c r="C5" s="11" t="inlineStr">
        <is>
          <t>Anel 8126 STD</t>
        </is>
      </c>
      <c r="D5" s="11" t="inlineStr">
        <is>
          <t>8126 STD</t>
        </is>
      </c>
      <c r="E5" s="11" t="inlineStr">
        <is>
          <t>Correção de saldo</t>
        </is>
      </c>
      <c r="F5" s="20" t="n">
        <v>1</v>
      </c>
      <c r="G5" s="12" t="n">
        <v>1</v>
      </c>
      <c r="H5" s="11" t="inlineStr">
        <is>
          <t>Contagem física do galpão</t>
        </is>
      </c>
      <c r="I5" s="11" t="inlineStr">
        <is>
          <t>Relatório</t>
        </is>
      </c>
    </row>
    <row r="6">
      <c r="A6" s="19" t="n">
        <v>46283</v>
      </c>
      <c r="B6" s="11" t="inlineStr">
        <is>
          <t>08:00</t>
        </is>
      </c>
      <c r="C6" s="11" t="inlineStr">
        <is>
          <t>Anel SDA 6631 0,50</t>
        </is>
      </c>
      <c r="D6" s="11" t="inlineStr">
        <is>
          <t>6631 0,50</t>
        </is>
      </c>
      <c r="E6" s="11" t="inlineStr">
        <is>
          <t>Correção de saldo</t>
        </is>
      </c>
      <c r="F6" s="20" t="n">
        <v>130</v>
      </c>
      <c r="G6" s="12" t="n">
        <v>130</v>
      </c>
      <c r="H6" s="11" t="inlineStr">
        <is>
          <t>Contagem física do galpão</t>
        </is>
      </c>
      <c r="I6" s="11" t="inlineStr">
        <is>
          <t>Relatório</t>
        </is>
      </c>
    </row>
    <row r="7">
      <c r="A7" s="19" t="n">
        <v>46283</v>
      </c>
      <c r="B7" s="11" t="inlineStr">
        <is>
          <t>08:00</t>
        </is>
      </c>
      <c r="C7" s="11" t="inlineStr">
        <is>
          <t>Anel SDA 7092</t>
        </is>
      </c>
      <c r="D7" s="11" t="inlineStr">
        <is>
          <t>7092</t>
        </is>
      </c>
      <c r="E7" s="11" t="inlineStr">
        <is>
          <t>Correção de saldo</t>
        </is>
      </c>
      <c r="F7" s="20" t="n">
        <v>25</v>
      </c>
      <c r="G7" s="12" t="n">
        <v>25</v>
      </c>
      <c r="H7" s="11" t="inlineStr">
        <is>
          <t>Contagem física do galpão</t>
        </is>
      </c>
      <c r="I7" s="11" t="inlineStr">
        <is>
          <t>Relatório</t>
        </is>
      </c>
    </row>
    <row r="8">
      <c r="A8" s="19" t="n">
        <v>46283</v>
      </c>
      <c r="B8" s="11" t="inlineStr">
        <is>
          <t>08:00</t>
        </is>
      </c>
      <c r="C8" s="11" t="inlineStr">
        <is>
          <t>Bronzina de Biela SBB 1035-J 0,25</t>
        </is>
      </c>
      <c r="D8" s="11" t="inlineStr">
        <is>
          <t>1035-J</t>
        </is>
      </c>
      <c r="E8" s="11" t="inlineStr">
        <is>
          <t>Correção de saldo</t>
        </is>
      </c>
      <c r="F8" s="20" t="n">
        <v>24</v>
      </c>
      <c r="G8" s="12" t="n">
        <v>24</v>
      </c>
      <c r="H8" s="11" t="inlineStr">
        <is>
          <t>Contagem física do galpão</t>
        </is>
      </c>
      <c r="I8" s="11" t="inlineStr">
        <is>
          <t>Relatório</t>
        </is>
      </c>
    </row>
    <row r="9">
      <c r="A9" s="19" t="n">
        <v>46283</v>
      </c>
      <c r="B9" s="11" t="inlineStr">
        <is>
          <t>08:00</t>
        </is>
      </c>
      <c r="C9" s="11" t="inlineStr">
        <is>
          <t>Jogo de Anel 7224 0,50</t>
        </is>
      </c>
      <c r="D9" s="11" t="inlineStr">
        <is>
          <t>7224 0,50</t>
        </is>
      </c>
      <c r="E9" s="11" t="inlineStr">
        <is>
          <t>Correção de saldo</t>
        </is>
      </c>
      <c r="F9" s="20" t="n">
        <v>54</v>
      </c>
      <c r="G9" s="12" t="n">
        <v>54</v>
      </c>
      <c r="H9" s="11" t="inlineStr">
        <is>
          <t>Contagem física do galpão</t>
        </is>
      </c>
      <c r="I9" s="11" t="inlineStr">
        <is>
          <t>Relatório</t>
        </is>
      </c>
    </row>
    <row r="10">
      <c r="A10" s="19" t="n">
        <v>46283</v>
      </c>
      <c r="B10" s="11" t="inlineStr">
        <is>
          <t>08:00</t>
        </is>
      </c>
      <c r="C10" s="11" t="inlineStr">
        <is>
          <t>Jogo de Anel 7224 STD</t>
        </is>
      </c>
      <c r="D10" s="11" t="inlineStr">
        <is>
          <t>7224 STD</t>
        </is>
      </c>
      <c r="E10" s="11" t="inlineStr">
        <is>
          <t>Correção de saldo</t>
        </is>
      </c>
      <c r="F10" s="20" t="n">
        <v>43</v>
      </c>
      <c r="G10" s="12" t="n">
        <v>43</v>
      </c>
      <c r="H10" s="11" t="inlineStr">
        <is>
          <t>Contagem física do galpão</t>
        </is>
      </c>
      <c r="I10" s="11" t="inlineStr">
        <is>
          <t>Relatório</t>
        </is>
      </c>
    </row>
    <row r="11">
      <c r="A11" s="19" t="n">
        <v>46283</v>
      </c>
      <c r="B11" s="11" t="inlineStr">
        <is>
          <t>08:00</t>
        </is>
      </c>
      <c r="C11" s="11" t="inlineStr">
        <is>
          <t>Retentor 1135</t>
        </is>
      </c>
      <c r="D11" s="11" t="inlineStr">
        <is>
          <t>1135</t>
        </is>
      </c>
      <c r="E11" s="11" t="inlineStr">
        <is>
          <t>Correção de saldo</t>
        </is>
      </c>
      <c r="F11" s="20" t="n">
        <v>118</v>
      </c>
      <c r="G11" s="12" t="n">
        <v>118</v>
      </c>
      <c r="H11" s="11" t="inlineStr">
        <is>
          <t>Contagem física do galpão</t>
        </is>
      </c>
      <c r="I11" s="11" t="inlineStr">
        <is>
          <t>Relatório</t>
        </is>
      </c>
    </row>
    <row r="12">
      <c r="A12" s="19" t="n">
        <v>46283</v>
      </c>
      <c r="B12" s="11" t="inlineStr">
        <is>
          <t>08:00</t>
        </is>
      </c>
      <c r="C12" s="11" t="inlineStr">
        <is>
          <t>Retentor 1942</t>
        </is>
      </c>
      <c r="D12" s="11" t="inlineStr">
        <is>
          <t>1942</t>
        </is>
      </c>
      <c r="E12" s="11" t="inlineStr">
        <is>
          <t>Correção de saldo</t>
        </is>
      </c>
      <c r="F12" s="20" t="n">
        <v>675</v>
      </c>
      <c r="G12" s="12" t="n">
        <v>675</v>
      </c>
      <c r="H12" s="11" t="inlineStr">
        <is>
          <t>Contagem física do galpão</t>
        </is>
      </c>
      <c r="I12" s="11" t="inlineStr">
        <is>
          <t>Relatório</t>
        </is>
      </c>
    </row>
    <row r="13">
      <c r="A13" s="19" t="n">
        <v>46283</v>
      </c>
      <c r="B13" s="11" t="inlineStr">
        <is>
          <t>08:00</t>
        </is>
      </c>
      <c r="C13" s="11" t="inlineStr">
        <is>
          <t>Retentor 2075</t>
        </is>
      </c>
      <c r="D13" s="11" t="inlineStr">
        <is>
          <t>2075</t>
        </is>
      </c>
      <c r="E13" s="11" t="inlineStr">
        <is>
          <t>Correção de saldo</t>
        </is>
      </c>
      <c r="F13" s="20" t="n">
        <v>124</v>
      </c>
      <c r="G13" s="12" t="n">
        <v>124</v>
      </c>
      <c r="H13" s="11" t="inlineStr">
        <is>
          <t>Contagem física do galpão</t>
        </is>
      </c>
      <c r="I13" s="11" t="inlineStr">
        <is>
          <t>Relatório</t>
        </is>
      </c>
    </row>
    <row r="14">
      <c r="A14" s="19" t="n">
        <v>46283</v>
      </c>
      <c r="B14" s="11" t="inlineStr">
        <is>
          <t>08:00</t>
        </is>
      </c>
      <c r="C14" s="11" t="inlineStr">
        <is>
          <t>Retentor 2178</t>
        </is>
      </c>
      <c r="D14" s="11" t="inlineStr">
        <is>
          <t>2178</t>
        </is>
      </c>
      <c r="E14" s="11" t="inlineStr">
        <is>
          <t>Correção de saldo</t>
        </is>
      </c>
      <c r="F14" s="20" t="n">
        <v>652</v>
      </c>
      <c r="G14" s="12" t="n">
        <v>652</v>
      </c>
      <c r="H14" s="11" t="inlineStr">
        <is>
          <t>Contagem física do galpão</t>
        </is>
      </c>
      <c r="I14" s="11" t="inlineStr">
        <is>
          <t>Relatório</t>
        </is>
      </c>
    </row>
    <row r="15">
      <c r="A15" s="19" t="n">
        <v>46283</v>
      </c>
      <c r="B15" s="11" t="inlineStr">
        <is>
          <t>08:00</t>
        </is>
      </c>
      <c r="C15" s="11" t="inlineStr">
        <is>
          <t>Retentor 2283</t>
        </is>
      </c>
      <c r="D15" s="11" t="inlineStr">
        <is>
          <t>2283</t>
        </is>
      </c>
      <c r="E15" s="11" t="inlineStr">
        <is>
          <t>Correção de saldo</t>
        </is>
      </c>
      <c r="F15" s="20" t="n">
        <v>274</v>
      </c>
      <c r="G15" s="12" t="n">
        <v>274</v>
      </c>
      <c r="H15" s="11" t="inlineStr">
        <is>
          <t>Contagem física do galpão</t>
        </is>
      </c>
      <c r="I15" s="11" t="inlineStr">
        <is>
          <t>Relatório</t>
        </is>
      </c>
    </row>
    <row r="16">
      <c r="A16" s="19" t="n">
        <v>46283</v>
      </c>
      <c r="B16" s="11" t="inlineStr">
        <is>
          <t>08:00</t>
        </is>
      </c>
      <c r="C16" s="11" t="inlineStr">
        <is>
          <t>Retentor 2317</t>
        </is>
      </c>
      <c r="D16" s="11" t="inlineStr">
        <is>
          <t>2317</t>
        </is>
      </c>
      <c r="E16" s="11" t="inlineStr">
        <is>
          <t>Correção de saldo</t>
        </is>
      </c>
      <c r="F16" s="20" t="n">
        <v>72</v>
      </c>
      <c r="G16" s="12" t="n">
        <v>72</v>
      </c>
      <c r="H16" s="11" t="inlineStr">
        <is>
          <t>Contagem física do galpão</t>
        </is>
      </c>
      <c r="I16" s="11" t="inlineStr">
        <is>
          <t>Relatório</t>
        </is>
      </c>
    </row>
    <row r="17">
      <c r="A17" s="19" t="n">
        <v>46283</v>
      </c>
      <c r="B17" s="11" t="inlineStr">
        <is>
          <t>08:00</t>
        </is>
      </c>
      <c r="C17" s="11" t="inlineStr">
        <is>
          <t>Retentor 2370</t>
        </is>
      </c>
      <c r="D17" s="11" t="inlineStr">
        <is>
          <t>2370</t>
        </is>
      </c>
      <c r="E17" s="11" t="inlineStr">
        <is>
          <t>Correção de saldo</t>
        </is>
      </c>
      <c r="F17" s="20" t="n">
        <v>58</v>
      </c>
      <c r="G17" s="12" t="n">
        <v>58</v>
      </c>
      <c r="H17" s="11" t="inlineStr">
        <is>
          <t>Contagem física do galpão</t>
        </is>
      </c>
      <c r="I17" s="11" t="inlineStr">
        <is>
          <t>Relatório</t>
        </is>
      </c>
    </row>
    <row r="18">
      <c r="A18" s="19" t="n">
        <v>46283</v>
      </c>
      <c r="B18" s="11" t="inlineStr">
        <is>
          <t>08:00</t>
        </is>
      </c>
      <c r="C18" s="11" t="inlineStr">
        <is>
          <t>Retentor 2371 (Shopee)</t>
        </is>
      </c>
      <c r="D18" s="11" t="inlineStr">
        <is>
          <t>2371</t>
        </is>
      </c>
      <c r="E18" s="11" t="inlineStr">
        <is>
          <t>Correção de saldo</t>
        </is>
      </c>
      <c r="F18" s="20" t="n">
        <v>359</v>
      </c>
      <c r="G18" s="12" t="n">
        <v>359</v>
      </c>
      <c r="H18" s="11" t="inlineStr">
        <is>
          <t>Contagem física do galpão</t>
        </is>
      </c>
      <c r="I18" s="11" t="inlineStr">
        <is>
          <t>Relatório</t>
        </is>
      </c>
    </row>
    <row r="19">
      <c r="A19" s="19" t="n">
        <v>46283</v>
      </c>
      <c r="B19" s="11" t="inlineStr">
        <is>
          <t>08:00</t>
        </is>
      </c>
      <c r="C19" s="11" t="inlineStr">
        <is>
          <t>Retentor 2373</t>
        </is>
      </c>
      <c r="D19" s="11" t="inlineStr">
        <is>
          <t>2373</t>
        </is>
      </c>
      <c r="E19" s="11" t="inlineStr">
        <is>
          <t>Correção de saldo</t>
        </is>
      </c>
      <c r="F19" s="20" t="n">
        <v>101</v>
      </c>
      <c r="G19" s="12" t="n">
        <v>101</v>
      </c>
      <c r="H19" s="11" t="inlineStr">
        <is>
          <t>Contagem física do galpão</t>
        </is>
      </c>
      <c r="I19" s="11" t="inlineStr">
        <is>
          <t>Relatório</t>
        </is>
      </c>
    </row>
    <row r="20">
      <c r="A20" s="19" t="n">
        <v>46283</v>
      </c>
      <c r="B20" s="11" t="inlineStr">
        <is>
          <t>08:00</t>
        </is>
      </c>
      <c r="C20" s="11" t="inlineStr">
        <is>
          <t>Retentor 2374</t>
        </is>
      </c>
      <c r="D20" s="11" t="inlineStr">
        <is>
          <t>2374</t>
        </is>
      </c>
      <c r="E20" s="11" t="inlineStr">
        <is>
          <t>Correção de saldo</t>
        </is>
      </c>
      <c r="F20" s="20" t="n">
        <v>42</v>
      </c>
      <c r="G20" s="12" t="n">
        <v>42</v>
      </c>
      <c r="H20" s="11" t="inlineStr">
        <is>
          <t>Contagem física do galpão</t>
        </is>
      </c>
      <c r="I20" s="11" t="inlineStr">
        <is>
          <t>Relatório</t>
        </is>
      </c>
    </row>
    <row r="21">
      <c r="A21" s="19" t="n">
        <v>46283</v>
      </c>
      <c r="B21" s="11" t="inlineStr">
        <is>
          <t>08:00</t>
        </is>
      </c>
      <c r="C21" s="11" t="inlineStr">
        <is>
          <t>Retentor 2400</t>
        </is>
      </c>
      <c r="D21" s="11" t="inlineStr">
        <is>
          <t>2400</t>
        </is>
      </c>
      <c r="E21" s="11" t="inlineStr">
        <is>
          <t>Correção de saldo</t>
        </is>
      </c>
      <c r="F21" s="20" t="n">
        <v>1</v>
      </c>
      <c r="G21" s="12" t="n">
        <v>1</v>
      </c>
      <c r="H21" s="11" t="inlineStr">
        <is>
          <t>Contagem física do galpão</t>
        </is>
      </c>
      <c r="I21" s="11" t="inlineStr">
        <is>
          <t>Relatório</t>
        </is>
      </c>
    </row>
    <row r="22">
      <c r="A22" s="19" t="n">
        <v>46283</v>
      </c>
      <c r="B22" s="11" t="inlineStr">
        <is>
          <t>08:00</t>
        </is>
      </c>
      <c r="C22" s="11" t="inlineStr">
        <is>
          <t>Retentor 2525</t>
        </is>
      </c>
      <c r="D22" s="11" t="inlineStr">
        <is>
          <t>2525</t>
        </is>
      </c>
      <c r="E22" s="11" t="inlineStr">
        <is>
          <t>Correção de saldo</t>
        </is>
      </c>
      <c r="F22" s="20" t="n">
        <v>600</v>
      </c>
      <c r="G22" s="12" t="n">
        <v>600</v>
      </c>
      <c r="H22" s="11" t="inlineStr">
        <is>
          <t>Contagem física do galpão</t>
        </is>
      </c>
      <c r="I22" s="11" t="inlineStr">
        <is>
          <t>Relatório</t>
        </is>
      </c>
    </row>
    <row r="23">
      <c r="A23" s="19" t="n">
        <v>46283</v>
      </c>
      <c r="B23" s="11" t="inlineStr">
        <is>
          <t>08:00</t>
        </is>
      </c>
      <c r="C23" s="11" t="inlineStr">
        <is>
          <t>Retentor 2539</t>
        </is>
      </c>
      <c r="D23" s="11" t="inlineStr">
        <is>
          <t>2539</t>
        </is>
      </c>
      <c r="E23" s="11" t="inlineStr">
        <is>
          <t>Correção de saldo</t>
        </is>
      </c>
      <c r="F23" s="20" t="n">
        <v>65</v>
      </c>
      <c r="G23" s="12" t="n">
        <v>65</v>
      </c>
      <c r="H23" s="11" t="inlineStr">
        <is>
          <t>Contagem física do galpão</t>
        </is>
      </c>
      <c r="I23" s="11" t="inlineStr">
        <is>
          <t>Relatório</t>
        </is>
      </c>
    </row>
    <row r="24">
      <c r="A24" s="19" t="n">
        <v>46283</v>
      </c>
      <c r="B24" s="11" t="inlineStr">
        <is>
          <t>08:00</t>
        </is>
      </c>
      <c r="C24" s="11" t="inlineStr">
        <is>
          <t>Retentor 2544</t>
        </is>
      </c>
      <c r="D24" s="11" t="inlineStr">
        <is>
          <t>2544</t>
        </is>
      </c>
      <c r="E24" s="11" t="inlineStr">
        <is>
          <t>Correção de saldo</t>
        </is>
      </c>
      <c r="F24" s="20" t="n">
        <v>224</v>
      </c>
      <c r="G24" s="12" t="n">
        <v>224</v>
      </c>
      <c r="H24" s="11" t="inlineStr">
        <is>
          <t>Contagem física do galpão</t>
        </is>
      </c>
      <c r="I24" s="11" t="inlineStr">
        <is>
          <t>Relatório</t>
        </is>
      </c>
    </row>
    <row r="25">
      <c r="A25" s="19" t="n">
        <v>46283</v>
      </c>
      <c r="B25" s="11" t="inlineStr">
        <is>
          <t>08:00</t>
        </is>
      </c>
      <c r="C25" s="11" t="inlineStr">
        <is>
          <t>Retentor 3044</t>
        </is>
      </c>
      <c r="D25" s="11" t="inlineStr">
        <is>
          <t>3044</t>
        </is>
      </c>
      <c r="E25" s="11" t="inlineStr">
        <is>
          <t>Correção de saldo</t>
        </is>
      </c>
      <c r="F25" s="20" t="n">
        <v>598</v>
      </c>
      <c r="G25" s="12" t="n">
        <v>598</v>
      </c>
      <c r="H25" s="11" t="inlineStr">
        <is>
          <t>Contagem física do galpão</t>
        </is>
      </c>
      <c r="I25" s="11" t="inlineStr">
        <is>
          <t>Relatório</t>
        </is>
      </c>
    </row>
    <row r="26">
      <c r="A26" s="19" t="n">
        <v>46283</v>
      </c>
      <c r="B26" s="11" t="inlineStr">
        <is>
          <t>08:00</t>
        </is>
      </c>
      <c r="C26" s="11" t="inlineStr">
        <is>
          <t>Retentor 5159</t>
        </is>
      </c>
      <c r="D26" s="11" t="inlineStr">
        <is>
          <t>5159</t>
        </is>
      </c>
      <c r="E26" s="11" t="inlineStr">
        <is>
          <t>Correção de saldo</t>
        </is>
      </c>
      <c r="F26" s="20" t="n">
        <v>911</v>
      </c>
      <c r="G26" s="12" t="n">
        <v>911</v>
      </c>
      <c r="H26" s="11" t="inlineStr">
        <is>
          <t>Contagem física do galpão</t>
        </is>
      </c>
      <c r="I26" s="11" t="inlineStr">
        <is>
          <t>Relatório</t>
        </is>
      </c>
    </row>
    <row r="27">
      <c r="A27" s="19" t="n">
        <v>46283</v>
      </c>
      <c r="B27" s="11" t="inlineStr">
        <is>
          <t>08:00</t>
        </is>
      </c>
      <c r="C27" s="11" t="inlineStr">
        <is>
          <t>Retentor 5245</t>
        </is>
      </c>
      <c r="D27" s="11" t="inlineStr">
        <is>
          <t>5245</t>
        </is>
      </c>
      <c r="E27" s="11" t="inlineStr">
        <is>
          <t>Correção de saldo</t>
        </is>
      </c>
      <c r="F27" s="20" t="n">
        <v>9</v>
      </c>
      <c r="G27" s="12" t="n">
        <v>9</v>
      </c>
      <c r="H27" s="11" t="inlineStr">
        <is>
          <t>Contagem física do galpão</t>
        </is>
      </c>
      <c r="I27" s="11" t="inlineStr">
        <is>
          <t>Relatório</t>
        </is>
      </c>
    </row>
    <row r="28">
      <c r="A28" s="19" t="n">
        <v>46283</v>
      </c>
      <c r="B28" s="11" t="inlineStr">
        <is>
          <t>08:00</t>
        </is>
      </c>
      <c r="C28" s="11" t="inlineStr">
        <is>
          <t>Retentor 5266</t>
        </is>
      </c>
      <c r="D28" s="11" t="inlineStr">
        <is>
          <t>5266</t>
        </is>
      </c>
      <c r="E28" s="11" t="inlineStr">
        <is>
          <t>Correção de saldo</t>
        </is>
      </c>
      <c r="F28" s="20" t="n">
        <v>53</v>
      </c>
      <c r="G28" s="12" t="n">
        <v>53</v>
      </c>
      <c r="H28" s="11" t="inlineStr">
        <is>
          <t>Contagem física do galpão</t>
        </is>
      </c>
      <c r="I28" s="11" t="inlineStr">
        <is>
          <t>Relatório</t>
        </is>
      </c>
    </row>
    <row r="29">
      <c r="A29" s="19" t="n">
        <v>46283</v>
      </c>
      <c r="B29" s="11" t="inlineStr">
        <is>
          <t>08:00</t>
        </is>
      </c>
      <c r="C29" s="11" t="inlineStr">
        <is>
          <t>Retentor 5338</t>
        </is>
      </c>
      <c r="D29" s="11" t="inlineStr">
        <is>
          <t>5338</t>
        </is>
      </c>
      <c r="E29" s="11" t="inlineStr">
        <is>
          <t>Correção de saldo</t>
        </is>
      </c>
      <c r="F29" s="20" t="n">
        <v>102</v>
      </c>
      <c r="G29" s="12" t="n">
        <v>102</v>
      </c>
      <c r="H29" s="11" t="inlineStr">
        <is>
          <t>Contagem física do galpão</t>
        </is>
      </c>
      <c r="I29" s="11" t="inlineStr">
        <is>
          <t>Relatório</t>
        </is>
      </c>
    </row>
    <row r="30">
      <c r="A30" s="19" t="n">
        <v>46283</v>
      </c>
      <c r="B30" s="11" t="inlineStr">
        <is>
          <t>08:00</t>
        </is>
      </c>
      <c r="C30" s="11" t="inlineStr">
        <is>
          <t>Retentor 5502</t>
        </is>
      </c>
      <c r="D30" s="11" t="inlineStr">
        <is>
          <t>5502</t>
        </is>
      </c>
      <c r="E30" s="11" t="inlineStr">
        <is>
          <t>Correção de saldo</t>
        </is>
      </c>
      <c r="F30" s="20" t="n">
        <v>45</v>
      </c>
      <c r="G30" s="12" t="n">
        <v>45</v>
      </c>
      <c r="H30" s="11" t="inlineStr">
        <is>
          <t>Contagem física do galpão</t>
        </is>
      </c>
      <c r="I30" s="11" t="inlineStr">
        <is>
          <t>Relatório</t>
        </is>
      </c>
    </row>
    <row r="31">
      <c r="A31" s="19" t="n">
        <v>46283</v>
      </c>
      <c r="B31" s="11" t="inlineStr">
        <is>
          <t>08:00</t>
        </is>
      </c>
      <c r="C31" s="11" t="inlineStr">
        <is>
          <t>Retentor 5601</t>
        </is>
      </c>
      <c r="D31" s="11" t="inlineStr">
        <is>
          <t>5601</t>
        </is>
      </c>
      <c r="E31" s="11" t="inlineStr">
        <is>
          <t>Correção de saldo</t>
        </is>
      </c>
      <c r="F31" s="20" t="n">
        <v>23</v>
      </c>
      <c r="G31" s="12" t="n">
        <v>23</v>
      </c>
      <c r="H31" s="11" t="inlineStr">
        <is>
          <t>Contagem física do galpão</t>
        </is>
      </c>
      <c r="I31" s="11" t="inlineStr">
        <is>
          <t>Relatório</t>
        </is>
      </c>
    </row>
    <row r="32">
      <c r="A32" s="19" t="n">
        <v>46283</v>
      </c>
      <c r="B32" s="11" t="inlineStr">
        <is>
          <t>08:00</t>
        </is>
      </c>
      <c r="C32" s="11" t="inlineStr">
        <is>
          <t>Retentor 5699</t>
        </is>
      </c>
      <c r="D32" s="11" t="inlineStr">
        <is>
          <t>5699</t>
        </is>
      </c>
      <c r="E32" s="11" t="inlineStr">
        <is>
          <t>Correção de saldo</t>
        </is>
      </c>
      <c r="F32" s="20" t="n">
        <v>49</v>
      </c>
      <c r="G32" s="12" t="n">
        <v>49</v>
      </c>
      <c r="H32" s="11" t="inlineStr">
        <is>
          <t>Contagem física do galpão</t>
        </is>
      </c>
      <c r="I32" s="11" t="inlineStr">
        <is>
          <t>Relatório</t>
        </is>
      </c>
    </row>
    <row r="33">
      <c r="A33" s="19" t="n">
        <v>46283</v>
      </c>
      <c r="B33" s="11" t="inlineStr">
        <is>
          <t>08:00</t>
        </is>
      </c>
      <c r="C33" s="11" t="inlineStr">
        <is>
          <t>Retentor 5702</t>
        </is>
      </c>
      <c r="D33" s="11" t="inlineStr">
        <is>
          <t>5702</t>
        </is>
      </c>
      <c r="E33" s="11" t="inlineStr">
        <is>
          <t>Correção de saldo</t>
        </is>
      </c>
      <c r="F33" s="20" t="n">
        <v>0</v>
      </c>
      <c r="G33" s="12" t="n">
        <v>0</v>
      </c>
      <c r="H33" s="11" t="inlineStr">
        <is>
          <t>Sem contagem na planilha — confirmar</t>
        </is>
      </c>
      <c r="I33" s="11" t="inlineStr">
        <is>
          <t>Relatório</t>
        </is>
      </c>
    </row>
    <row r="34">
      <c r="A34" s="19" t="n">
        <v>46283</v>
      </c>
      <c r="B34" s="11" t="inlineStr">
        <is>
          <t>08:00</t>
        </is>
      </c>
      <c r="C34" s="11" t="inlineStr">
        <is>
          <t>Retentor 5772</t>
        </is>
      </c>
      <c r="D34" s="11" t="inlineStr">
        <is>
          <t>5772</t>
        </is>
      </c>
      <c r="E34" s="11" t="inlineStr">
        <is>
          <t>Correção de saldo</t>
        </is>
      </c>
      <c r="F34" s="20" t="n">
        <v>172</v>
      </c>
      <c r="G34" s="12" t="n">
        <v>172</v>
      </c>
      <c r="H34" s="11" t="inlineStr">
        <is>
          <t>Contagem física do galpão</t>
        </is>
      </c>
      <c r="I34" s="11" t="inlineStr">
        <is>
          <t>Relatório</t>
        </is>
      </c>
    </row>
    <row r="35">
      <c r="A35" s="19" t="n">
        <v>46283</v>
      </c>
      <c r="B35" s="11" t="inlineStr">
        <is>
          <t>08:00</t>
        </is>
      </c>
      <c r="C35" s="11" t="inlineStr">
        <is>
          <t>Retentor 5801</t>
        </is>
      </c>
      <c r="D35" s="11" t="inlineStr">
        <is>
          <t>5801</t>
        </is>
      </c>
      <c r="E35" s="11" t="inlineStr">
        <is>
          <t>Correção de saldo</t>
        </is>
      </c>
      <c r="F35" s="20" t="n">
        <v>29</v>
      </c>
      <c r="G35" s="12" t="n">
        <v>29</v>
      </c>
      <c r="H35" s="11" t="inlineStr">
        <is>
          <t>Contagem física do galpão</t>
        </is>
      </c>
      <c r="I35" s="11" t="inlineStr">
        <is>
          <t>Relatório</t>
        </is>
      </c>
    </row>
    <row r="36">
      <c r="A36" s="19" t="n">
        <v>46283</v>
      </c>
      <c r="B36" s="11" t="inlineStr">
        <is>
          <t>08:00</t>
        </is>
      </c>
      <c r="C36" s="11" t="inlineStr">
        <is>
          <t>Vedadores 9203</t>
        </is>
      </c>
      <c r="D36" s="11" t="inlineStr">
        <is>
          <t>9203</t>
        </is>
      </c>
      <c r="E36" s="11" t="inlineStr">
        <is>
          <t>Correção de saldo</t>
        </is>
      </c>
      <c r="F36" s="20" t="n">
        <v>475</v>
      </c>
      <c r="G36" s="12" t="n">
        <v>475</v>
      </c>
      <c r="H36" s="11" t="inlineStr">
        <is>
          <t>Contagem física do galpão</t>
        </is>
      </c>
      <c r="I36" s="11" t="inlineStr">
        <is>
          <t>Relatório</t>
        </is>
      </c>
    </row>
    <row r="37">
      <c r="A37" s="19" t="n">
        <v>46283</v>
      </c>
      <c r="B37" s="11" t="inlineStr">
        <is>
          <t>08:00</t>
        </is>
      </c>
      <c r="C37" s="11" t="inlineStr">
        <is>
          <t>8566 STD</t>
        </is>
      </c>
      <c r="D37" s="11" t="inlineStr">
        <is>
          <t>8566 STD</t>
        </is>
      </c>
      <c r="E37" s="11" t="inlineStr">
        <is>
          <t>Correção de saldo</t>
        </is>
      </c>
      <c r="F37" s="20" t="n">
        <v>20</v>
      </c>
      <c r="G37" s="12" t="n">
        <v>20</v>
      </c>
      <c r="H37" s="11" t="inlineStr">
        <is>
          <t>Contagem física do galpão</t>
        </is>
      </c>
      <c r="I37" s="11" t="inlineStr">
        <is>
          <t>Relatório</t>
        </is>
      </c>
    </row>
    <row r="38">
      <c r="A38" s="19" t="n">
        <v>46283</v>
      </c>
      <c r="B38" s="11" t="inlineStr">
        <is>
          <t>08:00</t>
        </is>
      </c>
      <c r="C38" s="11" t="inlineStr">
        <is>
          <t>2900</t>
        </is>
      </c>
      <c r="D38" s="11" t="inlineStr">
        <is>
          <t>2900</t>
        </is>
      </c>
      <c r="E38" s="11" t="inlineStr">
        <is>
          <t>Correção de saldo</t>
        </is>
      </c>
      <c r="F38" s="20" t="n">
        <v>50</v>
      </c>
      <c r="G38" s="12" t="n">
        <v>50</v>
      </c>
      <c r="H38" s="11" t="inlineStr">
        <is>
          <t>Contagem física do galpão</t>
        </is>
      </c>
      <c r="I38" s="11" t="inlineStr">
        <is>
          <t>Relatório</t>
        </is>
      </c>
    </row>
    <row r="39">
      <c r="A39" s="19" t="n">
        <v>46283</v>
      </c>
      <c r="B39" s="11" t="inlineStr">
        <is>
          <t>09:00</t>
        </is>
      </c>
      <c r="C39" s="11" t="inlineStr">
        <is>
          <t>Anel SDA 6631 0,50</t>
        </is>
      </c>
      <c r="D39" s="11" t="inlineStr">
        <is>
          <t>6631 0,50</t>
        </is>
      </c>
      <c r="E39" s="11" t="inlineStr">
        <is>
          <t>Transferência</t>
        </is>
      </c>
      <c r="F39" s="20" t="n">
        <v>-30</v>
      </c>
      <c r="G39" s="12" t="n">
        <v>100</v>
      </c>
      <c r="H39" s="11" t="inlineStr">
        <is>
          <t>Envio para o galpão ML Full</t>
        </is>
      </c>
      <c r="I39" s="11" t="inlineStr">
        <is>
          <t>Relatório</t>
        </is>
      </c>
    </row>
    <row r="40">
      <c r="A40" s="19" t="n">
        <v>46283</v>
      </c>
      <c r="B40" s="11" t="inlineStr">
        <is>
          <t>09:00</t>
        </is>
      </c>
      <c r="C40" s="11" t="inlineStr">
        <is>
          <t>Retentor 2178</t>
        </is>
      </c>
      <c r="D40" s="11" t="inlineStr">
        <is>
          <t>2178</t>
        </is>
      </c>
      <c r="E40" s="11" t="inlineStr">
        <is>
          <t>Transferência</t>
        </is>
      </c>
      <c r="F40" s="20" t="n">
        <v>-300</v>
      </c>
      <c r="G40" s="12" t="n">
        <v>352</v>
      </c>
      <c r="H40" s="11" t="inlineStr">
        <is>
          <t>Envio para o galpão ML Full</t>
        </is>
      </c>
      <c r="I40" s="11" t="inlineStr">
        <is>
          <t>Relatório</t>
        </is>
      </c>
    </row>
    <row r="41">
      <c r="A41" s="19" t="n">
        <v>46283</v>
      </c>
      <c r="B41" s="11" t="inlineStr">
        <is>
          <t>09:00</t>
        </is>
      </c>
      <c r="C41" s="11" t="inlineStr">
        <is>
          <t>Retentor 2374</t>
        </is>
      </c>
      <c r="D41" s="11" t="inlineStr">
        <is>
          <t>2374</t>
        </is>
      </c>
      <c r="E41" s="11" t="inlineStr">
        <is>
          <t>Transferência</t>
        </is>
      </c>
      <c r="F41" s="20" t="n">
        <v>-40</v>
      </c>
      <c r="G41" s="12" t="n">
        <v>2</v>
      </c>
      <c r="H41" s="11" t="inlineStr">
        <is>
          <t>Envio para o galpão ML Full</t>
        </is>
      </c>
      <c r="I41" s="11" t="inlineStr">
        <is>
          <t>Relatório</t>
        </is>
      </c>
    </row>
    <row r="42">
      <c r="A42" s="19" t="n">
        <v>46283</v>
      </c>
      <c r="B42" s="11" t="inlineStr">
        <is>
          <t>09:00</t>
        </is>
      </c>
      <c r="C42" s="11" t="inlineStr">
        <is>
          <t>Retentor 2539</t>
        </is>
      </c>
      <c r="D42" s="11" t="inlineStr">
        <is>
          <t>2539</t>
        </is>
      </c>
      <c r="E42" s="11" t="inlineStr">
        <is>
          <t>Transferência</t>
        </is>
      </c>
      <c r="F42" s="20" t="n">
        <v>-30</v>
      </c>
      <c r="G42" s="12" t="n">
        <v>35</v>
      </c>
      <c r="H42" s="11" t="inlineStr">
        <is>
          <t>Envio para o galpão ML Full</t>
        </is>
      </c>
      <c r="I42" s="11" t="inlineStr">
        <is>
          <t>Relatório</t>
        </is>
      </c>
    </row>
    <row r="43">
      <c r="A43" s="19" t="n">
        <v>46283</v>
      </c>
      <c r="B43" s="11" t="inlineStr">
        <is>
          <t>09:00</t>
        </is>
      </c>
      <c r="C43" s="11" t="inlineStr">
        <is>
          <t>Retentor 3044</t>
        </is>
      </c>
      <c r="D43" s="11" t="inlineStr">
        <is>
          <t>3044</t>
        </is>
      </c>
      <c r="E43" s="11" t="inlineStr">
        <is>
          <t>Transferência</t>
        </is>
      </c>
      <c r="F43" s="20" t="n">
        <v>-100</v>
      </c>
      <c r="G43" s="12" t="n">
        <v>498</v>
      </c>
      <c r="H43" s="11" t="inlineStr">
        <is>
          <t>Envio para o galpão ML Full</t>
        </is>
      </c>
      <c r="I43" s="11" t="inlineStr">
        <is>
          <t>Relatório</t>
        </is>
      </c>
    </row>
    <row r="44">
      <c r="A44" s="19" t="n">
        <v>46283</v>
      </c>
      <c r="B44" s="11" t="inlineStr">
        <is>
          <t>09:00</t>
        </is>
      </c>
      <c r="C44" s="11" t="inlineStr">
        <is>
          <t>Retentor 5266</t>
        </is>
      </c>
      <c r="D44" s="11" t="inlineStr">
        <is>
          <t>5266</t>
        </is>
      </c>
      <c r="E44" s="11" t="inlineStr">
        <is>
          <t>Transferência</t>
        </is>
      </c>
      <c r="F44" s="20" t="n">
        <v>-30</v>
      </c>
      <c r="G44" s="12" t="n">
        <v>23</v>
      </c>
      <c r="H44" s="11" t="inlineStr">
        <is>
          <t>Envio para o galpão ML Full</t>
        </is>
      </c>
      <c r="I44" s="11" t="inlineStr">
        <is>
          <t>Relatório</t>
        </is>
      </c>
    </row>
    <row r="45">
      <c r="A45" s="19" t="n">
        <v>46283</v>
      </c>
      <c r="B45" s="11" t="inlineStr">
        <is>
          <t>09:00</t>
        </is>
      </c>
      <c r="C45" s="11" t="inlineStr">
        <is>
          <t>Retentor 5601</t>
        </is>
      </c>
      <c r="D45" s="11" t="inlineStr">
        <is>
          <t>5601</t>
        </is>
      </c>
      <c r="E45" s="11" t="inlineStr">
        <is>
          <t>Transferência</t>
        </is>
      </c>
      <c r="F45" s="20" t="n">
        <v>-15</v>
      </c>
      <c r="G45" s="12" t="n">
        <v>8</v>
      </c>
      <c r="H45" s="11" t="inlineStr">
        <is>
          <t>Envio para o galpão ML Full</t>
        </is>
      </c>
      <c r="I45" s="11" t="inlineStr">
        <is>
          <t>Relatório</t>
        </is>
      </c>
    </row>
    <row r="46">
      <c r="A46" s="19" t="n">
        <v>46283</v>
      </c>
      <c r="B46" s="11" t="inlineStr">
        <is>
          <t>09:00</t>
        </is>
      </c>
      <c r="C46" s="11" t="inlineStr">
        <is>
          <t>Retentor 5699</t>
        </is>
      </c>
      <c r="D46" s="11" t="inlineStr">
        <is>
          <t>5699</t>
        </is>
      </c>
      <c r="E46" s="11" t="inlineStr">
        <is>
          <t>Transferência</t>
        </is>
      </c>
      <c r="F46" s="20" t="n">
        <v>-20</v>
      </c>
      <c r="G46" s="12" t="n">
        <v>29</v>
      </c>
      <c r="H46" s="11" t="inlineStr">
        <is>
          <t>Envio para o galpão ML Full</t>
        </is>
      </c>
      <c r="I46" s="11" t="inlineStr">
        <is>
          <t>Relatório</t>
        </is>
      </c>
    </row>
    <row r="47">
      <c r="A47" s="19" t="n">
        <v>46283</v>
      </c>
      <c r="B47" s="11" t="inlineStr">
        <is>
          <t>09:00</t>
        </is>
      </c>
      <c r="C47" s="11" t="inlineStr">
        <is>
          <t>Vedadores 9203</t>
        </is>
      </c>
      <c r="D47" s="11" t="inlineStr">
        <is>
          <t>9203</t>
        </is>
      </c>
      <c r="E47" s="11" t="inlineStr">
        <is>
          <t>Transferência</t>
        </is>
      </c>
      <c r="F47" s="20" t="n">
        <v>-200</v>
      </c>
      <c r="G47" s="12" t="n">
        <v>275</v>
      </c>
      <c r="H47" s="11" t="inlineStr">
        <is>
          <t>Envio para o galpão ML Full</t>
        </is>
      </c>
      <c r="I47" s="11" t="inlineStr">
        <is>
          <t>Relatório</t>
        </is>
      </c>
    </row>
    <row r="48">
      <c r="A48" s="19" t="n">
        <v>46283</v>
      </c>
      <c r="B48" s="11" t="inlineStr">
        <is>
          <t>10:00</t>
        </is>
      </c>
      <c r="C48" s="11" t="inlineStr">
        <is>
          <t>Anéis 9200 STD</t>
        </is>
      </c>
      <c r="D48" s="11" t="inlineStr">
        <is>
          <t>9200 STD</t>
        </is>
      </c>
      <c r="E48" s="11" t="inlineStr">
        <is>
          <t>Venda</t>
        </is>
      </c>
      <c r="F48" s="20" t="n">
        <v>-2</v>
      </c>
      <c r="G48" s="12" t="n">
        <v>16</v>
      </c>
      <c r="H48" s="11" t="inlineStr">
        <is>
          <t>Vendas de 16/09</t>
        </is>
      </c>
      <c r="I48" s="11" t="inlineStr">
        <is>
          <t>Relatório</t>
        </is>
      </c>
    </row>
    <row r="49">
      <c r="A49" s="19" t="n">
        <v>46283</v>
      </c>
      <c r="B49" s="11" t="inlineStr">
        <is>
          <t>10:00</t>
        </is>
      </c>
      <c r="C49" s="11" t="inlineStr">
        <is>
          <t>Bronzina de Biela SBB 1035-J 0,25</t>
        </is>
      </c>
      <c r="D49" s="11" t="inlineStr">
        <is>
          <t>1035-J</t>
        </is>
      </c>
      <c r="E49" s="11" t="inlineStr">
        <is>
          <t>Venda</t>
        </is>
      </c>
      <c r="F49" s="20" t="n">
        <v>-1</v>
      </c>
      <c r="G49" s="12" t="n">
        <v>23</v>
      </c>
      <c r="H49" s="11" t="inlineStr">
        <is>
          <t>Vendas de 16/09</t>
        </is>
      </c>
      <c r="I49" s="11" t="inlineStr">
        <is>
          <t>Relatório</t>
        </is>
      </c>
    </row>
    <row r="50">
      <c r="A50" s="19" t="n">
        <v>46283</v>
      </c>
      <c r="B50" s="11" t="inlineStr">
        <is>
          <t>10:00</t>
        </is>
      </c>
      <c r="C50" s="11" t="inlineStr">
        <is>
          <t>Retentor 1942</t>
        </is>
      </c>
      <c r="D50" s="11" t="inlineStr">
        <is>
          <t>1942</t>
        </is>
      </c>
      <c r="E50" s="11" t="inlineStr">
        <is>
          <t>Venda</t>
        </is>
      </c>
      <c r="F50" s="20" t="n">
        <v>-9</v>
      </c>
      <c r="G50" s="12" t="n">
        <v>666</v>
      </c>
      <c r="H50" s="11" t="inlineStr">
        <is>
          <t>Vendas de 16/09</t>
        </is>
      </c>
      <c r="I50" s="11" t="inlineStr">
        <is>
          <t>Relatório</t>
        </is>
      </c>
    </row>
    <row r="51">
      <c r="A51" s="19" t="n">
        <v>46283</v>
      </c>
      <c r="B51" s="11" t="inlineStr">
        <is>
          <t>10:00</t>
        </is>
      </c>
      <c r="C51" s="11" t="inlineStr">
        <is>
          <t>Retentor 2178</t>
        </is>
      </c>
      <c r="D51" s="11" t="inlineStr">
        <is>
          <t>2178</t>
        </is>
      </c>
      <c r="E51" s="11" t="inlineStr">
        <is>
          <t>Venda</t>
        </is>
      </c>
      <c r="F51" s="20" t="n">
        <v>-3</v>
      </c>
      <c r="G51" s="12" t="n">
        <v>349</v>
      </c>
      <c r="H51" s="11" t="inlineStr">
        <is>
          <t>Vendas de 16/09</t>
        </is>
      </c>
      <c r="I51" s="11" t="inlineStr">
        <is>
          <t>Relatório</t>
        </is>
      </c>
    </row>
    <row r="52">
      <c r="A52" s="19" t="n">
        <v>46283</v>
      </c>
      <c r="B52" s="11" t="inlineStr">
        <is>
          <t>10:00</t>
        </is>
      </c>
      <c r="C52" s="11" t="inlineStr">
        <is>
          <t>Retentor 2283</t>
        </is>
      </c>
      <c r="D52" s="11" t="inlineStr">
        <is>
          <t>2283</t>
        </is>
      </c>
      <c r="E52" s="11" t="inlineStr">
        <is>
          <t>Venda</t>
        </is>
      </c>
      <c r="F52" s="20" t="n">
        <v>-1</v>
      </c>
      <c r="G52" s="12" t="n">
        <v>273</v>
      </c>
      <c r="H52" s="11" t="inlineStr">
        <is>
          <t>Vendas de 16/09</t>
        </is>
      </c>
      <c r="I52" s="11" t="inlineStr">
        <is>
          <t>Relatório</t>
        </is>
      </c>
    </row>
    <row r="53">
      <c r="A53" s="19" t="n">
        <v>46283</v>
      </c>
      <c r="B53" s="11" t="inlineStr">
        <is>
          <t>10:00</t>
        </is>
      </c>
      <c r="C53" s="11" t="inlineStr">
        <is>
          <t>Retentor 3044</t>
        </is>
      </c>
      <c r="D53" s="11" t="inlineStr">
        <is>
          <t>3044</t>
        </is>
      </c>
      <c r="E53" s="11" t="inlineStr">
        <is>
          <t>Venda</t>
        </is>
      </c>
      <c r="F53" s="20" t="n">
        <v>-2</v>
      </c>
      <c r="G53" s="12" t="n">
        <v>496</v>
      </c>
      <c r="H53" s="11" t="inlineStr">
        <is>
          <t>Vendas de 16/09</t>
        </is>
      </c>
      <c r="I53" s="11" t="inlineStr">
        <is>
          <t>Relatório</t>
        </is>
      </c>
    </row>
    <row r="54">
      <c r="A54" s="19" t="n">
        <v>46283</v>
      </c>
      <c r="B54" s="11" t="inlineStr">
        <is>
          <t>10:00</t>
        </is>
      </c>
      <c r="C54" s="11" t="inlineStr">
        <is>
          <t>Retentor 5338</t>
        </is>
      </c>
      <c r="D54" s="11" t="inlineStr">
        <is>
          <t>5338</t>
        </is>
      </c>
      <c r="E54" s="11" t="inlineStr">
        <is>
          <t>Venda</t>
        </is>
      </c>
      <c r="F54" s="20" t="n">
        <v>-2</v>
      </c>
      <c r="G54" s="12" t="n">
        <v>100</v>
      </c>
      <c r="H54" s="11" t="inlineStr">
        <is>
          <t>Vendas de 16/09</t>
        </is>
      </c>
      <c r="I54" s="11" t="inlineStr">
        <is>
          <t>Relatório</t>
        </is>
      </c>
    </row>
    <row r="55">
      <c r="A55" s="19" t="n">
        <v>46283</v>
      </c>
      <c r="B55" s="11" t="inlineStr">
        <is>
          <t>10:00</t>
        </is>
      </c>
      <c r="C55" s="11" t="inlineStr">
        <is>
          <t>Retentor 5601</t>
        </is>
      </c>
      <c r="D55" s="11" t="inlineStr">
        <is>
          <t>5601</t>
        </is>
      </c>
      <c r="E55" s="11" t="inlineStr">
        <is>
          <t>Venda</t>
        </is>
      </c>
      <c r="F55" s="20" t="n">
        <v>-1</v>
      </c>
      <c r="G55" s="12" t="n">
        <v>7</v>
      </c>
      <c r="H55" s="11" t="inlineStr">
        <is>
          <t>Vendas de 16/09</t>
        </is>
      </c>
      <c r="I55" s="11" t="inlineStr">
        <is>
          <t>Relatório</t>
        </is>
      </c>
    </row>
    <row r="56">
      <c r="A56" s="19" t="n">
        <v>46283</v>
      </c>
      <c r="B56" s="11" t="inlineStr">
        <is>
          <t>10:00</t>
        </is>
      </c>
      <c r="C56" s="11" t="inlineStr">
        <is>
          <t>Retentor 5772</t>
        </is>
      </c>
      <c r="D56" s="11" t="inlineStr">
        <is>
          <t>5772</t>
        </is>
      </c>
      <c r="E56" s="11" t="inlineStr">
        <is>
          <t>Venda</t>
        </is>
      </c>
      <c r="F56" s="20" t="n">
        <v>-1</v>
      </c>
      <c r="G56" s="12" t="n">
        <v>171</v>
      </c>
      <c r="H56" s="11" t="inlineStr">
        <is>
          <t>Vendas de 16/09</t>
        </is>
      </c>
      <c r="I56" s="11" t="inlineStr">
        <is>
          <t>Relatório</t>
        </is>
      </c>
    </row>
    <row r="57">
      <c r="A57" s="19" t="n">
        <v>46283</v>
      </c>
      <c r="B57" s="11" t="inlineStr">
        <is>
          <t>10:00</t>
        </is>
      </c>
      <c r="C57" s="11" t="inlineStr">
        <is>
          <t>Vedadores 9203</t>
        </is>
      </c>
      <c r="D57" s="11" t="inlineStr">
        <is>
          <t>9203</t>
        </is>
      </c>
      <c r="E57" s="11" t="inlineStr">
        <is>
          <t>Venda</t>
        </is>
      </c>
      <c r="F57" s="20" t="n">
        <v>-4</v>
      </c>
      <c r="G57" s="12" t="n">
        <v>271</v>
      </c>
      <c r="H57" s="11" t="inlineStr">
        <is>
          <t>Vendas de 16/09</t>
        </is>
      </c>
      <c r="I57" s="11" t="inlineStr">
        <is>
          <t>Relatório</t>
        </is>
      </c>
    </row>
    <row r="58">
      <c r="A58" s="19" t="n">
        <v>46283</v>
      </c>
      <c r="B58" s="11" t="inlineStr">
        <is>
          <t>11:00</t>
        </is>
      </c>
      <c r="C58" s="11" t="inlineStr">
        <is>
          <t>Retentor 2370</t>
        </is>
      </c>
      <c r="D58" s="11" t="inlineStr">
        <is>
          <t>2370</t>
        </is>
      </c>
      <c r="E58" s="11" t="inlineStr">
        <is>
          <t>Venda</t>
        </is>
      </c>
      <c r="F58" s="20" t="n">
        <v>-3</v>
      </c>
      <c r="G58" s="12" t="n">
        <v>55</v>
      </c>
      <c r="H58" s="11" t="inlineStr">
        <is>
          <t>Vendas de 17/09</t>
        </is>
      </c>
      <c r="I58" s="11" t="inlineStr">
        <is>
          <t>Relatório</t>
        </is>
      </c>
    </row>
    <row r="59">
      <c r="A59" s="19" t="n">
        <v>46283</v>
      </c>
      <c r="B59" s="11" t="inlineStr">
        <is>
          <t>11:00</t>
        </is>
      </c>
      <c r="C59" s="11" t="inlineStr">
        <is>
          <t>Retentor 2544</t>
        </is>
      </c>
      <c r="D59" s="11" t="inlineStr">
        <is>
          <t>2544</t>
        </is>
      </c>
      <c r="E59" s="11" t="inlineStr">
        <is>
          <t>Venda</t>
        </is>
      </c>
      <c r="F59" s="20" t="n">
        <v>-1</v>
      </c>
      <c r="G59" s="12" t="n">
        <v>223</v>
      </c>
      <c r="H59" s="11" t="inlineStr">
        <is>
          <t>Vendas de 17/09</t>
        </is>
      </c>
      <c r="I59" s="11" t="inlineStr">
        <is>
          <t>Relatório</t>
        </is>
      </c>
    </row>
    <row r="60">
      <c r="A60" s="19" t="n">
        <v>46283</v>
      </c>
      <c r="B60" s="11" t="inlineStr">
        <is>
          <t>11:00</t>
        </is>
      </c>
      <c r="C60" s="11" t="inlineStr">
        <is>
          <t>Retentor 3044</t>
        </is>
      </c>
      <c r="D60" s="11" t="inlineStr">
        <is>
          <t>3044</t>
        </is>
      </c>
      <c r="E60" s="11" t="inlineStr">
        <is>
          <t>Venda</t>
        </is>
      </c>
      <c r="F60" s="20" t="n">
        <v>-2</v>
      </c>
      <c r="G60" s="12" t="n">
        <v>494</v>
      </c>
      <c r="H60" s="11" t="inlineStr">
        <is>
          <t>Vendas de 17/09</t>
        </is>
      </c>
      <c r="I60" s="11" t="inlineStr">
        <is>
          <t>Relatório</t>
        </is>
      </c>
    </row>
    <row r="61">
      <c r="A61" s="19" t="n">
        <v>46283</v>
      </c>
      <c r="B61" s="11" t="inlineStr">
        <is>
          <t>11:00</t>
        </is>
      </c>
      <c r="C61" s="11" t="inlineStr">
        <is>
          <t>Retentor 5159</t>
        </is>
      </c>
      <c r="D61" s="11" t="inlineStr">
        <is>
          <t>5159</t>
        </is>
      </c>
      <c r="E61" s="11" t="inlineStr">
        <is>
          <t>Venda</t>
        </is>
      </c>
      <c r="F61" s="20" t="n">
        <v>-2</v>
      </c>
      <c r="G61" s="12" t="n">
        <v>909</v>
      </c>
      <c r="H61" s="11" t="inlineStr">
        <is>
          <t>Vendas de 17/09</t>
        </is>
      </c>
      <c r="I61" s="11" t="inlineStr">
        <is>
          <t>Relatório</t>
        </is>
      </c>
    </row>
    <row r="62">
      <c r="A62" s="19" t="n">
        <v>46283</v>
      </c>
      <c r="B62" s="11" t="inlineStr">
        <is>
          <t>11:00</t>
        </is>
      </c>
      <c r="C62" s="11" t="inlineStr">
        <is>
          <t>Retentor 5338</t>
        </is>
      </c>
      <c r="D62" s="11" t="inlineStr">
        <is>
          <t>5338</t>
        </is>
      </c>
      <c r="E62" s="11" t="inlineStr">
        <is>
          <t>Venda</t>
        </is>
      </c>
      <c r="F62" s="20" t="n">
        <v>-2</v>
      </c>
      <c r="G62" s="12" t="n">
        <v>98</v>
      </c>
      <c r="H62" s="11" t="inlineStr">
        <is>
          <t>Vendas de 17/09</t>
        </is>
      </c>
      <c r="I62" s="11" t="inlineStr">
        <is>
          <t>Relatório</t>
        </is>
      </c>
    </row>
    <row r="63">
      <c r="A63" s="19" t="n">
        <v>46283</v>
      </c>
      <c r="B63" s="11" t="inlineStr">
        <is>
          <t>11:00</t>
        </is>
      </c>
      <c r="C63" s="11" t="inlineStr">
        <is>
          <t>Retentor 5699</t>
        </is>
      </c>
      <c r="D63" s="11" t="inlineStr">
        <is>
          <t>5699</t>
        </is>
      </c>
      <c r="E63" s="11" t="inlineStr">
        <is>
          <t>Venda</t>
        </is>
      </c>
      <c r="F63" s="20" t="n">
        <v>-1</v>
      </c>
      <c r="G63" s="12" t="n">
        <v>28</v>
      </c>
      <c r="H63" s="11" t="inlineStr">
        <is>
          <t>Vendas de 17/09</t>
        </is>
      </c>
      <c r="I63" s="11" t="inlineStr">
        <is>
          <t>Relatório</t>
        </is>
      </c>
    </row>
    <row r="64">
      <c r="A64" s="19" t="n">
        <v>46283</v>
      </c>
      <c r="B64" s="11" t="inlineStr">
        <is>
          <t>11:00</t>
        </is>
      </c>
      <c r="C64" s="11" t="inlineStr">
        <is>
          <t>Retentor 5772</t>
        </is>
      </c>
      <c r="D64" s="11" t="inlineStr">
        <is>
          <t>5772</t>
        </is>
      </c>
      <c r="E64" s="11" t="inlineStr">
        <is>
          <t>Venda</t>
        </is>
      </c>
      <c r="F64" s="20" t="n">
        <v>-3</v>
      </c>
      <c r="G64" s="12" t="n">
        <v>168</v>
      </c>
      <c r="H64" s="11" t="inlineStr">
        <is>
          <t>Vendas de 17/09</t>
        </is>
      </c>
      <c r="I64" s="11" t="inlineStr">
        <is>
          <t>Relatório</t>
        </is>
      </c>
    </row>
    <row r="65">
      <c r="A65" s="19" t="n">
        <v>46283</v>
      </c>
      <c r="B65" s="11" t="inlineStr">
        <is>
          <t>12:00</t>
        </is>
      </c>
      <c r="C65" s="11" t="inlineStr">
        <is>
          <t>Anéis 8126 0,50</t>
        </is>
      </c>
      <c r="D65" s="11" t="inlineStr">
        <is>
          <t>8126 0,50</t>
        </is>
      </c>
      <c r="E65" s="11" t="inlineStr">
        <is>
          <t>Venda</t>
        </is>
      </c>
      <c r="F65" s="20" t="n">
        <v>-3</v>
      </c>
      <c r="G65" s="12" t="n">
        <v>0</v>
      </c>
      <c r="H65" s="11" t="inlineStr">
        <is>
          <t>Vendas conferidas nas listas</t>
        </is>
      </c>
      <c r="I65" s="11" t="inlineStr">
        <is>
          <t>Relatório</t>
        </is>
      </c>
    </row>
    <row r="66">
      <c r="A66" s="19" t="n">
        <v>46283</v>
      </c>
      <c r="B66" s="11" t="inlineStr">
        <is>
          <t>12:00</t>
        </is>
      </c>
      <c r="C66" s="11" t="inlineStr">
        <is>
          <t>Anéis 9200 STD</t>
        </is>
      </c>
      <c r="D66" s="11" t="inlineStr">
        <is>
          <t>9200 STD</t>
        </is>
      </c>
      <c r="E66" s="11" t="inlineStr">
        <is>
          <t>Venda</t>
        </is>
      </c>
      <c r="F66" s="20" t="n">
        <v>-7</v>
      </c>
      <c r="G66" s="12" t="n">
        <v>9</v>
      </c>
      <c r="H66" s="11" t="inlineStr">
        <is>
          <t>Vendas conferidas nas listas</t>
        </is>
      </c>
      <c r="I66" s="11" t="inlineStr">
        <is>
          <t>Relatório</t>
        </is>
      </c>
    </row>
    <row r="67">
      <c r="A67" s="19" t="n">
        <v>46283</v>
      </c>
      <c r="B67" s="11" t="inlineStr">
        <is>
          <t>12:00</t>
        </is>
      </c>
      <c r="C67" s="11" t="inlineStr">
        <is>
          <t>Anel SDA 6631 0,50</t>
        </is>
      </c>
      <c r="D67" s="11" t="inlineStr">
        <is>
          <t>6631 0,50</t>
        </is>
      </c>
      <c r="E67" s="11" t="inlineStr">
        <is>
          <t>Venda</t>
        </is>
      </c>
      <c r="F67" s="20" t="n">
        <v>-1</v>
      </c>
      <c r="G67" s="12" t="n">
        <v>99</v>
      </c>
      <c r="H67" s="11" t="inlineStr">
        <is>
          <t>Vendas conferidas nas listas</t>
        </is>
      </c>
      <c r="I67" s="11" t="inlineStr">
        <is>
          <t>Relatório</t>
        </is>
      </c>
    </row>
    <row r="68">
      <c r="A68" s="19" t="n">
        <v>46283</v>
      </c>
      <c r="B68" s="11" t="inlineStr">
        <is>
          <t>12:00</t>
        </is>
      </c>
      <c r="C68" s="11" t="inlineStr">
        <is>
          <t>Anel SDA 7092</t>
        </is>
      </c>
      <c r="D68" s="11" t="inlineStr">
        <is>
          <t>7092</t>
        </is>
      </c>
      <c r="E68" s="11" t="inlineStr">
        <is>
          <t>Venda</t>
        </is>
      </c>
      <c r="F68" s="20" t="n">
        <v>-2</v>
      </c>
      <c r="G68" s="12" t="n">
        <v>23</v>
      </c>
      <c r="H68" s="11" t="inlineStr">
        <is>
          <t>Vendas conferidas nas listas</t>
        </is>
      </c>
      <c r="I68" s="11" t="inlineStr">
        <is>
          <t>Relatório</t>
        </is>
      </c>
    </row>
    <row r="69">
      <c r="A69" s="19" t="n">
        <v>46283</v>
      </c>
      <c r="B69" s="11" t="inlineStr">
        <is>
          <t>12:00</t>
        </is>
      </c>
      <c r="C69" s="11" t="inlineStr">
        <is>
          <t>Jogo de Anel 7224 0,50</t>
        </is>
      </c>
      <c r="D69" s="11" t="inlineStr">
        <is>
          <t>7224 0,50</t>
        </is>
      </c>
      <c r="E69" s="11" t="inlineStr">
        <is>
          <t>Venda</t>
        </is>
      </c>
      <c r="F69" s="20" t="n">
        <v>-1</v>
      </c>
      <c r="G69" s="12" t="n">
        <v>53</v>
      </c>
      <c r="H69" s="11" t="inlineStr">
        <is>
          <t>Vendas conferidas nas listas</t>
        </is>
      </c>
      <c r="I69" s="11" t="inlineStr">
        <is>
          <t>Relatório</t>
        </is>
      </c>
    </row>
    <row r="70">
      <c r="A70" s="19" t="n">
        <v>46283</v>
      </c>
      <c r="B70" s="11" t="inlineStr">
        <is>
          <t>12:00</t>
        </is>
      </c>
      <c r="C70" s="11" t="inlineStr">
        <is>
          <t>Jogo de Anel 7224 STD</t>
        </is>
      </c>
      <c r="D70" s="11" t="inlineStr">
        <is>
          <t>7224 STD</t>
        </is>
      </c>
      <c r="E70" s="11" t="inlineStr">
        <is>
          <t>Venda</t>
        </is>
      </c>
      <c r="F70" s="20" t="n">
        <v>-8</v>
      </c>
      <c r="G70" s="12" t="n">
        <v>35</v>
      </c>
      <c r="H70" s="11" t="inlineStr">
        <is>
          <t>Vendas conferidas nas listas</t>
        </is>
      </c>
      <c r="I70" s="11" t="inlineStr">
        <is>
          <t>Relatório</t>
        </is>
      </c>
    </row>
    <row r="71">
      <c r="A71" s="19" t="n">
        <v>46283</v>
      </c>
      <c r="B71" s="11" t="inlineStr">
        <is>
          <t>12:00</t>
        </is>
      </c>
      <c r="C71" s="11" t="inlineStr">
        <is>
          <t>Retentor 1135</t>
        </is>
      </c>
      <c r="D71" s="11" t="inlineStr">
        <is>
          <t>1135</t>
        </is>
      </c>
      <c r="E71" s="11" t="inlineStr">
        <is>
          <t>Venda</t>
        </is>
      </c>
      <c r="F71" s="20" t="n">
        <v>-1</v>
      </c>
      <c r="G71" s="12" t="n">
        <v>117</v>
      </c>
      <c r="H71" s="11" t="inlineStr">
        <is>
          <t>Vendas conferidas nas listas</t>
        </is>
      </c>
      <c r="I71" s="11" t="inlineStr">
        <is>
          <t>Relatório</t>
        </is>
      </c>
    </row>
    <row r="72">
      <c r="A72" s="19" t="n">
        <v>46283</v>
      </c>
      <c r="B72" s="11" t="inlineStr">
        <is>
          <t>12:00</t>
        </is>
      </c>
      <c r="C72" s="11" t="inlineStr">
        <is>
          <t>Retentor 1942</t>
        </is>
      </c>
      <c r="D72" s="11" t="inlineStr">
        <is>
          <t>1942</t>
        </is>
      </c>
      <c r="E72" s="11" t="inlineStr">
        <is>
          <t>Venda</t>
        </is>
      </c>
      <c r="F72" s="20" t="n">
        <v>-58</v>
      </c>
      <c r="G72" s="12" t="n">
        <v>608</v>
      </c>
      <c r="H72" s="11" t="inlineStr">
        <is>
          <t>Vendas conferidas nas listas</t>
        </is>
      </c>
      <c r="I72" s="11" t="inlineStr">
        <is>
          <t>Relatório</t>
        </is>
      </c>
    </row>
    <row r="73">
      <c r="A73" s="19" t="n">
        <v>46283</v>
      </c>
      <c r="B73" s="11" t="inlineStr">
        <is>
          <t>12:00</t>
        </is>
      </c>
      <c r="C73" s="11" t="inlineStr">
        <is>
          <t>Retentor 2178</t>
        </is>
      </c>
      <c r="D73" s="11" t="inlineStr">
        <is>
          <t>2178</t>
        </is>
      </c>
      <c r="E73" s="11" t="inlineStr">
        <is>
          <t>Venda</t>
        </is>
      </c>
      <c r="F73" s="20" t="n">
        <v>-19</v>
      </c>
      <c r="G73" s="12" t="n">
        <v>330</v>
      </c>
      <c r="H73" s="11" t="inlineStr">
        <is>
          <t>Vendas conferidas nas listas</t>
        </is>
      </c>
      <c r="I73" s="11" t="inlineStr">
        <is>
          <t>Relatório</t>
        </is>
      </c>
    </row>
    <row r="74">
      <c r="A74" s="19" t="n">
        <v>46283</v>
      </c>
      <c r="B74" s="11" t="inlineStr">
        <is>
          <t>12:00</t>
        </is>
      </c>
      <c r="C74" s="11" t="inlineStr">
        <is>
          <t>Retentor 2283</t>
        </is>
      </c>
      <c r="D74" s="11" t="inlineStr">
        <is>
          <t>2283</t>
        </is>
      </c>
      <c r="E74" s="11" t="inlineStr">
        <is>
          <t>Venda</t>
        </is>
      </c>
      <c r="F74" s="20" t="n">
        <v>-3</v>
      </c>
      <c r="G74" s="12" t="n">
        <v>270</v>
      </c>
      <c r="H74" s="11" t="inlineStr">
        <is>
          <t>Vendas conferidas nas listas</t>
        </is>
      </c>
      <c r="I74" s="11" t="inlineStr">
        <is>
          <t>Relatório</t>
        </is>
      </c>
    </row>
    <row r="75">
      <c r="A75" s="19" t="n">
        <v>46283</v>
      </c>
      <c r="B75" s="11" t="inlineStr">
        <is>
          <t>12:00</t>
        </is>
      </c>
      <c r="C75" s="11" t="inlineStr">
        <is>
          <t>Retentor 2370</t>
        </is>
      </c>
      <c r="D75" s="11" t="inlineStr">
        <is>
          <t>2370</t>
        </is>
      </c>
      <c r="E75" s="11" t="inlineStr">
        <is>
          <t>Venda</t>
        </is>
      </c>
      <c r="F75" s="20" t="n">
        <v>-16</v>
      </c>
      <c r="G75" s="12" t="n">
        <v>39</v>
      </c>
      <c r="H75" s="11" t="inlineStr">
        <is>
          <t>Vendas conferidas nas listas</t>
        </is>
      </c>
      <c r="I75" s="11" t="inlineStr">
        <is>
          <t>Relatório</t>
        </is>
      </c>
    </row>
    <row r="76">
      <c r="A76" s="19" t="n">
        <v>46283</v>
      </c>
      <c r="B76" s="11" t="inlineStr">
        <is>
          <t>12:00</t>
        </is>
      </c>
      <c r="C76" s="11" t="inlineStr">
        <is>
          <t>Retentor 2373</t>
        </is>
      </c>
      <c r="D76" s="11" t="inlineStr">
        <is>
          <t>2373</t>
        </is>
      </c>
      <c r="E76" s="11" t="inlineStr">
        <is>
          <t>Venda</t>
        </is>
      </c>
      <c r="F76" s="20" t="n">
        <v>-3</v>
      </c>
      <c r="G76" s="12" t="n">
        <v>98</v>
      </c>
      <c r="H76" s="11" t="inlineStr">
        <is>
          <t>Vendas conferidas nas listas</t>
        </is>
      </c>
      <c r="I76" s="11" t="inlineStr">
        <is>
          <t>Relatório</t>
        </is>
      </c>
    </row>
    <row r="77">
      <c r="A77" s="19" t="n">
        <v>46283</v>
      </c>
      <c r="B77" s="11" t="inlineStr">
        <is>
          <t>12:00</t>
        </is>
      </c>
      <c r="C77" s="11" t="inlineStr">
        <is>
          <t>Retentor 2374</t>
        </is>
      </c>
      <c r="D77" s="11" t="inlineStr">
        <is>
          <t>2374</t>
        </is>
      </c>
      <c r="E77" s="11" t="inlineStr">
        <is>
          <t>Venda</t>
        </is>
      </c>
      <c r="F77" s="20" t="n">
        <v>-5</v>
      </c>
      <c r="G77" s="12" t="n">
        <v>-3</v>
      </c>
      <c r="H77" s="11" t="inlineStr">
        <is>
          <t>Vendas conferidas nas listas</t>
        </is>
      </c>
      <c r="I77" s="11" t="inlineStr">
        <is>
          <t>Relatório</t>
        </is>
      </c>
    </row>
    <row r="78">
      <c r="A78" s="19" t="n">
        <v>46283</v>
      </c>
      <c r="B78" s="11" t="inlineStr">
        <is>
          <t>12:00</t>
        </is>
      </c>
      <c r="C78" s="11" t="inlineStr">
        <is>
          <t>Retentor 2544</t>
        </is>
      </c>
      <c r="D78" s="11" t="inlineStr">
        <is>
          <t>2544</t>
        </is>
      </c>
      <c r="E78" s="11" t="inlineStr">
        <is>
          <t>Venda</t>
        </is>
      </c>
      <c r="F78" s="20" t="n">
        <v>-3</v>
      </c>
      <c r="G78" s="12" t="n">
        <v>220</v>
      </c>
      <c r="H78" s="11" t="inlineStr">
        <is>
          <t>Vendas conferidas nas listas</t>
        </is>
      </c>
      <c r="I78" s="11" t="inlineStr">
        <is>
          <t>Relatório</t>
        </is>
      </c>
    </row>
    <row r="79">
      <c r="A79" s="19" t="n">
        <v>46283</v>
      </c>
      <c r="B79" s="11" t="inlineStr">
        <is>
          <t>12:00</t>
        </is>
      </c>
      <c r="C79" s="11" t="inlineStr">
        <is>
          <t>Retentor 3044</t>
        </is>
      </c>
      <c r="D79" s="11" t="inlineStr">
        <is>
          <t>3044</t>
        </is>
      </c>
      <c r="E79" s="11" t="inlineStr">
        <is>
          <t>Venda</t>
        </is>
      </c>
      <c r="F79" s="20" t="n">
        <v>-8</v>
      </c>
      <c r="G79" s="12" t="n">
        <v>486</v>
      </c>
      <c r="H79" s="11" t="inlineStr">
        <is>
          <t>Vendas conferidas nas listas</t>
        </is>
      </c>
      <c r="I79" s="11" t="inlineStr">
        <is>
          <t>Relatório</t>
        </is>
      </c>
    </row>
    <row r="80">
      <c r="A80" s="19" t="n">
        <v>46283</v>
      </c>
      <c r="B80" s="11" t="inlineStr">
        <is>
          <t>12:00</t>
        </is>
      </c>
      <c r="C80" s="11" t="inlineStr">
        <is>
          <t>Retentor 5159</t>
        </is>
      </c>
      <c r="D80" s="11" t="inlineStr">
        <is>
          <t>5159</t>
        </is>
      </c>
      <c r="E80" s="11" t="inlineStr">
        <is>
          <t>Venda</t>
        </is>
      </c>
      <c r="F80" s="20" t="n">
        <v>-7</v>
      </c>
      <c r="G80" s="12" t="n">
        <v>902</v>
      </c>
      <c r="H80" s="11" t="inlineStr">
        <is>
          <t>Vendas conferidas nas listas</t>
        </is>
      </c>
      <c r="I80" s="11" t="inlineStr">
        <is>
          <t>Relatório</t>
        </is>
      </c>
    </row>
    <row r="81">
      <c r="A81" s="19" t="n">
        <v>46283</v>
      </c>
      <c r="B81" s="11" t="inlineStr">
        <is>
          <t>12:00</t>
        </is>
      </c>
      <c r="C81" s="11" t="inlineStr">
        <is>
          <t>Retentor 5245</t>
        </is>
      </c>
      <c r="D81" s="11" t="inlineStr">
        <is>
          <t>5245</t>
        </is>
      </c>
      <c r="E81" s="11" t="inlineStr">
        <is>
          <t>Venda</t>
        </is>
      </c>
      <c r="F81" s="20" t="n">
        <v>-9</v>
      </c>
      <c r="G81" s="12" t="n">
        <v>0</v>
      </c>
      <c r="H81" s="11" t="inlineStr">
        <is>
          <t>Vendas conferidas nas listas</t>
        </is>
      </c>
      <c r="I81" s="11" t="inlineStr">
        <is>
          <t>Relatório</t>
        </is>
      </c>
    </row>
    <row r="82">
      <c r="A82" s="19" t="n">
        <v>46283</v>
      </c>
      <c r="B82" s="11" t="inlineStr">
        <is>
          <t>12:00</t>
        </is>
      </c>
      <c r="C82" s="11" t="inlineStr">
        <is>
          <t>Retentor 5266</t>
        </is>
      </c>
      <c r="D82" s="11" t="inlineStr">
        <is>
          <t>5266</t>
        </is>
      </c>
      <c r="E82" s="11" t="inlineStr">
        <is>
          <t>Venda</t>
        </is>
      </c>
      <c r="F82" s="20" t="n">
        <v>-6</v>
      </c>
      <c r="G82" s="12" t="n">
        <v>17</v>
      </c>
      <c r="H82" s="11" t="inlineStr">
        <is>
          <t>Vendas conferidas nas listas</t>
        </is>
      </c>
      <c r="I82" s="11" t="inlineStr">
        <is>
          <t>Relatório</t>
        </is>
      </c>
    </row>
    <row r="83">
      <c r="A83" s="19" t="n">
        <v>46283</v>
      </c>
      <c r="B83" s="11" t="inlineStr">
        <is>
          <t>12:00</t>
        </is>
      </c>
      <c r="C83" s="11" t="inlineStr">
        <is>
          <t>Retentor 5338</t>
        </is>
      </c>
      <c r="D83" s="11" t="inlineStr">
        <is>
          <t>5338</t>
        </is>
      </c>
      <c r="E83" s="11" t="inlineStr">
        <is>
          <t>Venda</t>
        </is>
      </c>
      <c r="F83" s="20" t="n">
        <v>-10</v>
      </c>
      <c r="G83" s="12" t="n">
        <v>88</v>
      </c>
      <c r="H83" s="11" t="inlineStr">
        <is>
          <t>Vendas conferidas nas listas</t>
        </is>
      </c>
      <c r="I83" s="11" t="inlineStr">
        <is>
          <t>Relatório</t>
        </is>
      </c>
    </row>
    <row r="84">
      <c r="A84" s="19" t="n">
        <v>46283</v>
      </c>
      <c r="B84" s="11" t="inlineStr">
        <is>
          <t>12:00</t>
        </is>
      </c>
      <c r="C84" s="11" t="inlineStr">
        <is>
          <t>Retentor 5601</t>
        </is>
      </c>
      <c r="D84" s="11" t="inlineStr">
        <is>
          <t>5601</t>
        </is>
      </c>
      <c r="E84" s="11" t="inlineStr">
        <is>
          <t>Venda</t>
        </is>
      </c>
      <c r="F84" s="20" t="n">
        <v>-2</v>
      </c>
      <c r="G84" s="12" t="n">
        <v>5</v>
      </c>
      <c r="H84" s="11" t="inlineStr">
        <is>
          <t>Vendas conferidas nas listas</t>
        </is>
      </c>
      <c r="I84" s="11" t="inlineStr">
        <is>
          <t>Relatório</t>
        </is>
      </c>
    </row>
    <row r="85">
      <c r="A85" s="19" t="n">
        <v>46283</v>
      </c>
      <c r="B85" s="11" t="inlineStr">
        <is>
          <t>12:00</t>
        </is>
      </c>
      <c r="C85" s="11" t="inlineStr">
        <is>
          <t>Retentor 5772</t>
        </is>
      </c>
      <c r="D85" s="11" t="inlineStr">
        <is>
          <t>5772</t>
        </is>
      </c>
      <c r="E85" s="11" t="inlineStr">
        <is>
          <t>Venda</t>
        </is>
      </c>
      <c r="F85" s="20" t="n">
        <v>-5</v>
      </c>
      <c r="G85" s="12" t="n">
        <v>163</v>
      </c>
      <c r="H85" s="11" t="inlineStr">
        <is>
          <t>Vendas conferidas nas listas</t>
        </is>
      </c>
      <c r="I85" s="11" t="inlineStr">
        <is>
          <t>Relatório</t>
        </is>
      </c>
    </row>
    <row r="86">
      <c r="A86" s="19" t="n">
        <v>46283</v>
      </c>
      <c r="B86" s="11" t="inlineStr">
        <is>
          <t>12:00</t>
        </is>
      </c>
      <c r="C86" s="11" t="inlineStr">
        <is>
          <t>Vedadores 9203</t>
        </is>
      </c>
      <c r="D86" s="11" t="inlineStr">
        <is>
          <t>9203</t>
        </is>
      </c>
      <c r="E86" s="11" t="inlineStr">
        <is>
          <t>Venda</t>
        </is>
      </c>
      <c r="F86" s="20" t="n">
        <v>-20</v>
      </c>
      <c r="G86" s="12" t="n">
        <v>251</v>
      </c>
      <c r="H86" s="11" t="inlineStr">
        <is>
          <t>Vendas conferidas nas listas</t>
        </is>
      </c>
      <c r="I86" s="11" t="inlineStr">
        <is>
          <t>Relatório</t>
        </is>
      </c>
    </row>
    <row r="87">
      <c r="A87" s="19" t="n">
        <v>46287</v>
      </c>
      <c r="B87" s="11" t="inlineStr">
        <is>
          <t>09:00</t>
        </is>
      </c>
      <c r="C87" s="11" t="inlineStr">
        <is>
          <t>Anel 8126 STD</t>
        </is>
      </c>
      <c r="D87" s="11" t="inlineStr">
        <is>
          <t>8126 STD</t>
        </is>
      </c>
      <c r="E87" s="11" t="inlineStr">
        <is>
          <t>Entrada</t>
        </is>
      </c>
      <c r="F87" s="20" t="n">
        <v>290</v>
      </c>
      <c r="G87" s="12" t="n">
        <v>291</v>
      </c>
      <c r="H87" s="11" t="inlineStr">
        <is>
          <t>Mercadoria recebida</t>
        </is>
      </c>
      <c r="I87" s="11" t="inlineStr">
        <is>
          <t>Relatório</t>
        </is>
      </c>
    </row>
    <row r="88">
      <c r="A88" s="19" t="n">
        <v>46287</v>
      </c>
      <c r="B88" s="11" t="inlineStr">
        <is>
          <t>09:01</t>
        </is>
      </c>
      <c r="C88" s="11" t="inlineStr">
        <is>
          <t>Vedadores 9203</t>
        </is>
      </c>
      <c r="D88" s="11" t="inlineStr">
        <is>
          <t>9203</t>
        </is>
      </c>
      <c r="E88" s="11" t="inlineStr">
        <is>
          <t>Entrada</t>
        </is>
      </c>
      <c r="F88" s="20" t="n">
        <v>100</v>
      </c>
      <c r="G88" s="12" t="n">
        <v>351</v>
      </c>
      <c r="H88" s="11" t="inlineStr">
        <is>
          <t>Mercadoria recebida</t>
        </is>
      </c>
      <c r="I88" s="11" t="inlineStr">
        <is>
          <t>Relatório</t>
        </is>
      </c>
    </row>
    <row r="89">
      <c r="A89" s="19" t="n">
        <v>46287</v>
      </c>
      <c r="B89" s="11" t="inlineStr">
        <is>
          <t>09:02</t>
        </is>
      </c>
      <c r="C89" s="11" t="inlineStr">
        <is>
          <t>Retentor 2374</t>
        </is>
      </c>
      <c r="D89" s="11" t="inlineStr">
        <is>
          <t>2374</t>
        </is>
      </c>
      <c r="E89" s="11" t="inlineStr">
        <is>
          <t>Entrada</t>
        </is>
      </c>
      <c r="F89" s="20" t="n">
        <v>300</v>
      </c>
      <c r="G89" s="12" t="n">
        <v>297</v>
      </c>
      <c r="H89" s="11" t="inlineStr">
        <is>
          <t>Mercadoria recebida — saldo vinha de -3, conferir</t>
        </is>
      </c>
      <c r="I89" s="11" t="inlineStr">
        <is>
          <t>Relatório</t>
        </is>
      </c>
    </row>
    <row r="90">
      <c r="A90" s="19" t="n">
        <v>46287</v>
      </c>
      <c r="B90" s="11" t="inlineStr">
        <is>
          <t>09:03</t>
        </is>
      </c>
      <c r="C90" s="11" t="inlineStr">
        <is>
          <t>Retentor 2370</t>
        </is>
      </c>
      <c r="D90" s="11" t="inlineStr">
        <is>
          <t>2370</t>
        </is>
      </c>
      <c r="E90" s="11" t="inlineStr">
        <is>
          <t>Entrada</t>
        </is>
      </c>
      <c r="F90" s="20" t="n">
        <v>400</v>
      </c>
      <c r="G90" s="12" t="n">
        <v>439</v>
      </c>
      <c r="H90" s="11" t="inlineStr">
        <is>
          <t>Mercadoria recebida</t>
        </is>
      </c>
      <c r="I90" s="11" t="inlineStr">
        <is>
          <t>Relatório</t>
        </is>
      </c>
    </row>
    <row r="91">
      <c r="A91" s="19" t="n">
        <v>46287</v>
      </c>
      <c r="B91" s="11" t="inlineStr">
        <is>
          <t>09:04</t>
        </is>
      </c>
      <c r="C91" s="11" t="inlineStr">
        <is>
          <t>Retentor 2400</t>
        </is>
      </c>
      <c r="D91" s="11" t="inlineStr">
        <is>
          <t>2400</t>
        </is>
      </c>
      <c r="E91" s="11" t="inlineStr">
        <is>
          <t>Entrada</t>
        </is>
      </c>
      <c r="F91" s="20" t="n">
        <v>100</v>
      </c>
      <c r="G91" s="12" t="n">
        <v>101</v>
      </c>
      <c r="H91" s="11" t="inlineStr">
        <is>
          <t>Mercadoria recebida</t>
        </is>
      </c>
      <c r="I91" s="11" t="inlineStr">
        <is>
          <t>Relatório</t>
        </is>
      </c>
    </row>
    <row r="92">
      <c r="A92" s="19" t="n">
        <v>46287</v>
      </c>
      <c r="B92" s="11" t="inlineStr">
        <is>
          <t>09:05</t>
        </is>
      </c>
      <c r="C92" s="11" t="inlineStr">
        <is>
          <t>Retentor 5601</t>
        </is>
      </c>
      <c r="D92" s="11" t="inlineStr">
        <is>
          <t>5601</t>
        </is>
      </c>
      <c r="E92" s="11" t="inlineStr">
        <is>
          <t>Entrada</t>
        </is>
      </c>
      <c r="F92" s="20" t="n">
        <v>147</v>
      </c>
      <c r="G92" s="12" t="n">
        <v>152</v>
      </c>
      <c r="H92" s="11" t="inlineStr">
        <is>
          <t>Mercadoria recebida</t>
        </is>
      </c>
      <c r="I92" s="11" t="inlineStr">
        <is>
          <t>Relatório</t>
        </is>
      </c>
    </row>
    <row r="93">
      <c r="A93" s="19" t="n">
        <v>46287</v>
      </c>
      <c r="B93" s="11" t="inlineStr">
        <is>
          <t>09:06</t>
        </is>
      </c>
      <c r="C93" s="11" t="inlineStr">
        <is>
          <t>Retentor 5245</t>
        </is>
      </c>
      <c r="D93" s="11" t="inlineStr">
        <is>
          <t>5245</t>
        </is>
      </c>
      <c r="E93" s="11" t="inlineStr">
        <is>
          <t>Entrada</t>
        </is>
      </c>
      <c r="F93" s="20" t="n">
        <v>50</v>
      </c>
      <c r="G93" s="12" t="n">
        <v>50</v>
      </c>
      <c r="H93" s="11" t="inlineStr">
        <is>
          <t>Mercadoria recebida</t>
        </is>
      </c>
      <c r="I93" s="11" t="inlineStr">
        <is>
          <t>Relatório</t>
        </is>
      </c>
    </row>
    <row r="94">
      <c r="A94" s="19" t="n">
        <v>46287</v>
      </c>
      <c r="B94" s="11" t="inlineStr">
        <is>
          <t>09:07</t>
        </is>
      </c>
      <c r="C94" s="11" t="inlineStr">
        <is>
          <t>Retentor 5338</t>
        </is>
      </c>
      <c r="D94" s="11" t="inlineStr">
        <is>
          <t>5338</t>
        </is>
      </c>
      <c r="E94" s="11" t="inlineStr">
        <is>
          <t>Entrada</t>
        </is>
      </c>
      <c r="F94" s="20" t="n">
        <v>50</v>
      </c>
      <c r="G94" s="12" t="n">
        <v>138</v>
      </c>
      <c r="H94" s="11" t="inlineStr">
        <is>
          <t>Mercadoria recebida</t>
        </is>
      </c>
      <c r="I94" s="11" t="inlineStr">
        <is>
          <t>Relatório</t>
        </is>
      </c>
    </row>
    <row r="95">
      <c r="A95" s="19" t="n">
        <v>46287</v>
      </c>
      <c r="B95" s="11" t="inlineStr">
        <is>
          <t>14:00</t>
        </is>
      </c>
      <c r="C95" s="11" t="inlineStr">
        <is>
          <t>Retentor 5502</t>
        </is>
      </c>
      <c r="D95" s="11" t="inlineStr">
        <is>
          <t>5502</t>
        </is>
      </c>
      <c r="E95" s="11" t="inlineStr">
        <is>
          <t>Venda</t>
        </is>
      </c>
      <c r="F95" s="20" t="n">
        <v>-1</v>
      </c>
      <c r="G95" s="12" t="n">
        <v>44</v>
      </c>
      <c r="H95" s="11" t="inlineStr">
        <is>
          <t>Relatório de vendas</t>
        </is>
      </c>
      <c r="I95" s="11" t="inlineStr">
        <is>
          <t>Relatório</t>
        </is>
      </c>
    </row>
    <row r="96">
      <c r="A96" s="19" t="n">
        <v>46287</v>
      </c>
      <c r="B96" s="11" t="inlineStr">
        <is>
          <t>14:01</t>
        </is>
      </c>
      <c r="C96" s="11" t="inlineStr">
        <is>
          <t>Retentor 2370</t>
        </is>
      </c>
      <c r="D96" s="11" t="inlineStr">
        <is>
          <t>2370</t>
        </is>
      </c>
      <c r="E96" s="11" t="inlineStr">
        <is>
          <t>Venda</t>
        </is>
      </c>
      <c r="F96" s="20" t="n">
        <v>-4</v>
      </c>
      <c r="G96" s="12" t="n">
        <v>435</v>
      </c>
      <c r="H96" s="11" t="inlineStr">
        <is>
          <t>Relatório de vendas</t>
        </is>
      </c>
      <c r="I96" s="11" t="inlineStr">
        <is>
          <t>Relatório</t>
        </is>
      </c>
    </row>
    <row r="97">
      <c r="A97" s="19" t="n">
        <v>46287</v>
      </c>
      <c r="B97" s="11" t="inlineStr">
        <is>
          <t>14:02</t>
        </is>
      </c>
      <c r="C97" s="11" t="inlineStr">
        <is>
          <t>Retentor 2178</t>
        </is>
      </c>
      <c r="D97" s="11" t="inlineStr">
        <is>
          <t>2178</t>
        </is>
      </c>
      <c r="E97" s="11" t="inlineStr">
        <is>
          <t>Venda</t>
        </is>
      </c>
      <c r="F97" s="20" t="n">
        <v>-8</v>
      </c>
      <c r="G97" s="12" t="n">
        <v>322</v>
      </c>
      <c r="H97" s="11" t="inlineStr">
        <is>
          <t>Relatório de vendas</t>
        </is>
      </c>
      <c r="I97" s="11" t="inlineStr">
        <is>
          <t>Relatório</t>
        </is>
      </c>
    </row>
    <row r="98">
      <c r="A98" s="19" t="n">
        <v>46287</v>
      </c>
      <c r="B98" s="11" t="inlineStr">
        <is>
          <t>14:03</t>
        </is>
      </c>
      <c r="C98" s="11" t="inlineStr">
        <is>
          <t>Retentor 3044</t>
        </is>
      </c>
      <c r="D98" s="11" t="inlineStr">
        <is>
          <t>3044</t>
        </is>
      </c>
      <c r="E98" s="11" t="inlineStr">
        <is>
          <t>Venda</t>
        </is>
      </c>
      <c r="F98" s="20" t="n">
        <v>-3</v>
      </c>
      <c r="G98" s="12" t="n">
        <v>483</v>
      </c>
      <c r="H98" s="11" t="inlineStr">
        <is>
          <t>Relatório de vendas</t>
        </is>
      </c>
      <c r="I98" s="11" t="inlineStr">
        <is>
          <t>Relatório</t>
        </is>
      </c>
    </row>
    <row r="99">
      <c r="A99" s="19" t="n">
        <v>46287</v>
      </c>
      <c r="B99" s="11" t="inlineStr">
        <is>
          <t>14:04</t>
        </is>
      </c>
      <c r="C99" s="11" t="inlineStr">
        <is>
          <t>Retentor 5338</t>
        </is>
      </c>
      <c r="D99" s="11" t="inlineStr">
        <is>
          <t>5338</t>
        </is>
      </c>
      <c r="E99" s="11" t="inlineStr">
        <is>
          <t>Venda</t>
        </is>
      </c>
      <c r="F99" s="20" t="n">
        <v>-2</v>
      </c>
      <c r="G99" s="12" t="n">
        <v>136</v>
      </c>
      <c r="H99" s="11" t="inlineStr">
        <is>
          <t>Relatório de vendas</t>
        </is>
      </c>
      <c r="I99" s="11" t="inlineStr">
        <is>
          <t>Relatório</t>
        </is>
      </c>
    </row>
    <row r="100">
      <c r="A100" s="19" t="n">
        <v>46287</v>
      </c>
      <c r="B100" s="11" t="inlineStr">
        <is>
          <t>14:05</t>
        </is>
      </c>
      <c r="C100" s="11" t="inlineStr">
        <is>
          <t>Retentor 2544</t>
        </is>
      </c>
      <c r="D100" s="11" t="inlineStr">
        <is>
          <t>2544</t>
        </is>
      </c>
      <c r="E100" s="11" t="inlineStr">
        <is>
          <t>Venda</t>
        </is>
      </c>
      <c r="F100" s="20" t="n">
        <v>-6</v>
      </c>
      <c r="G100" s="12" t="n">
        <v>214</v>
      </c>
      <c r="H100" s="11" t="inlineStr">
        <is>
          <t>Relatório de vendas</t>
        </is>
      </c>
      <c r="I100" s="11" t="inlineStr">
        <is>
          <t>Relatório</t>
        </is>
      </c>
    </row>
    <row r="101">
      <c r="A101" s="19" t="n">
        <v>46287</v>
      </c>
      <c r="B101" s="11" t="inlineStr">
        <is>
          <t>14:06</t>
        </is>
      </c>
      <c r="C101" s="11" t="inlineStr">
        <is>
          <t>Retentor 5159</t>
        </is>
      </c>
      <c r="D101" s="11" t="inlineStr">
        <is>
          <t>5159</t>
        </is>
      </c>
      <c r="E101" s="11" t="inlineStr">
        <is>
          <t>Venda</t>
        </is>
      </c>
      <c r="F101" s="20" t="n">
        <v>-6</v>
      </c>
      <c r="G101" s="12" t="n">
        <v>896</v>
      </c>
      <c r="H101" s="11" t="inlineStr">
        <is>
          <t>Relatório de vendas</t>
        </is>
      </c>
      <c r="I101" s="11" t="inlineStr">
        <is>
          <t>Relatório</t>
        </is>
      </c>
    </row>
    <row r="102">
      <c r="A102" s="19" t="n">
        <v>46287</v>
      </c>
      <c r="B102" s="11" t="inlineStr">
        <is>
          <t>14:07</t>
        </is>
      </c>
      <c r="C102" s="11" t="inlineStr">
        <is>
          <t>Retentor 2525</t>
        </is>
      </c>
      <c r="D102" s="11" t="inlineStr">
        <is>
          <t>2525</t>
        </is>
      </c>
      <c r="E102" s="11" t="inlineStr">
        <is>
          <t>Venda</t>
        </is>
      </c>
      <c r="F102" s="20" t="n">
        <v>-1</v>
      </c>
      <c r="G102" s="12" t="n">
        <v>599</v>
      </c>
      <c r="H102" s="11" t="inlineStr">
        <is>
          <t>Relatório de vendas</t>
        </is>
      </c>
      <c r="I102" s="11" t="inlineStr">
        <is>
          <t>Relatório</t>
        </is>
      </c>
    </row>
    <row r="103">
      <c r="A103" s="19" t="n">
        <v>46287</v>
      </c>
      <c r="B103" s="11" t="inlineStr">
        <is>
          <t>14:08</t>
        </is>
      </c>
      <c r="C103" s="11" t="inlineStr">
        <is>
          <t>Retentor 2373</t>
        </is>
      </c>
      <c r="D103" s="11" t="inlineStr">
        <is>
          <t>2373</t>
        </is>
      </c>
      <c r="E103" s="11" t="inlineStr">
        <is>
          <t>Venda</t>
        </is>
      </c>
      <c r="F103" s="20" t="n">
        <v>-1</v>
      </c>
      <c r="G103" s="12" t="n">
        <v>97</v>
      </c>
      <c r="H103" s="11" t="inlineStr">
        <is>
          <t>Relatório de vendas</t>
        </is>
      </c>
      <c r="I103" s="11" t="inlineStr">
        <is>
          <t>Relatório</t>
        </is>
      </c>
    </row>
    <row r="104">
      <c r="A104" s="19" t="n">
        <v>46287</v>
      </c>
      <c r="B104" s="11" t="inlineStr">
        <is>
          <t>14:09</t>
        </is>
      </c>
      <c r="C104" s="11" t="inlineStr">
        <is>
          <t>Vedadores 9203</t>
        </is>
      </c>
      <c r="D104" s="11" t="inlineStr">
        <is>
          <t>9203</t>
        </is>
      </c>
      <c r="E104" s="11" t="inlineStr">
        <is>
          <t>Venda</t>
        </is>
      </c>
      <c r="F104" s="20" t="n">
        <v>-8</v>
      </c>
      <c r="G104" s="12" t="n">
        <v>343</v>
      </c>
      <c r="H104" s="11" t="inlineStr">
        <is>
          <t>Relatório de vendas</t>
        </is>
      </c>
      <c r="I104" s="11" t="inlineStr">
        <is>
          <t>Relatório</t>
        </is>
      </c>
    </row>
    <row r="105">
      <c r="A105" s="19" t="n">
        <v>46287</v>
      </c>
      <c r="B105" s="11" t="inlineStr">
        <is>
          <t>14:10</t>
        </is>
      </c>
      <c r="C105" s="11" t="inlineStr">
        <is>
          <t>Retentor 5772</t>
        </is>
      </c>
      <c r="D105" s="11" t="inlineStr">
        <is>
          <t>5772</t>
        </is>
      </c>
      <c r="E105" s="11" t="inlineStr">
        <is>
          <t>Venda</t>
        </is>
      </c>
      <c r="F105" s="20" t="n">
        <v>-11</v>
      </c>
      <c r="G105" s="12" t="n">
        <v>152</v>
      </c>
      <c r="H105" s="11" t="inlineStr">
        <is>
          <t>Relatório de vendas</t>
        </is>
      </c>
      <c r="I105" s="11" t="inlineStr">
        <is>
          <t>Relatório</t>
        </is>
      </c>
    </row>
    <row r="106">
      <c r="A106" s="19" t="n">
        <v>46287</v>
      </c>
      <c r="B106" s="11" t="inlineStr">
        <is>
          <t>14:11</t>
        </is>
      </c>
      <c r="C106" s="11" t="inlineStr">
        <is>
          <t>Retentor 5266</t>
        </is>
      </c>
      <c r="D106" s="11" t="inlineStr">
        <is>
          <t>5266</t>
        </is>
      </c>
      <c r="E106" s="11" t="inlineStr">
        <is>
          <t>Venda</t>
        </is>
      </c>
      <c r="F106" s="20" t="n">
        <v>-1</v>
      </c>
      <c r="G106" s="12" t="n">
        <v>16</v>
      </c>
      <c r="H106" s="11" t="inlineStr">
        <is>
          <t>Relatório de vendas</t>
        </is>
      </c>
      <c r="I106" s="11" t="inlineStr">
        <is>
          <t>Relatório</t>
        </is>
      </c>
    </row>
    <row r="107">
      <c r="A107" s="19" t="n">
        <v>46287</v>
      </c>
      <c r="B107" s="11" t="inlineStr">
        <is>
          <t>14:12</t>
        </is>
      </c>
      <c r="C107" s="11" t="inlineStr">
        <is>
          <t>Retentor 1942</t>
        </is>
      </c>
      <c r="D107" s="11" t="inlineStr">
        <is>
          <t>1942</t>
        </is>
      </c>
      <c r="E107" s="11" t="inlineStr">
        <is>
          <t>Venda</t>
        </is>
      </c>
      <c r="F107" s="20" t="n">
        <v>-12</v>
      </c>
      <c r="G107" s="12" t="n">
        <v>596</v>
      </c>
      <c r="H107" s="11" t="inlineStr">
        <is>
          <t>Relatório de vendas</t>
        </is>
      </c>
      <c r="I107" s="11" t="inlineStr">
        <is>
          <t>Relatório</t>
        </is>
      </c>
    </row>
    <row r="108">
      <c r="A108" s="19" t="n">
        <v>46287</v>
      </c>
      <c r="B108" s="11" t="inlineStr">
        <is>
          <t>14:13</t>
        </is>
      </c>
      <c r="C108" s="11" t="inlineStr">
        <is>
          <t>Retentor 5699</t>
        </is>
      </c>
      <c r="D108" s="11" t="inlineStr">
        <is>
          <t>5699</t>
        </is>
      </c>
      <c r="E108" s="11" t="inlineStr">
        <is>
          <t>Venda</t>
        </is>
      </c>
      <c r="F108" s="20" t="n">
        <v>-1</v>
      </c>
      <c r="G108" s="12" t="n">
        <v>27</v>
      </c>
      <c r="H108" s="11" t="inlineStr">
        <is>
          <t>Relatório de vendas</t>
        </is>
      </c>
      <c r="I108" s="11" t="inlineStr">
        <is>
          <t>Relatório</t>
        </is>
      </c>
    </row>
    <row r="109">
      <c r="A109" s="19" t="n">
        <v>46287</v>
      </c>
      <c r="B109" s="11" t="inlineStr">
        <is>
          <t>14:14</t>
        </is>
      </c>
      <c r="C109" s="11" t="inlineStr">
        <is>
          <t>Retentor 5601</t>
        </is>
      </c>
      <c r="D109" s="11" t="inlineStr">
        <is>
          <t>5601</t>
        </is>
      </c>
      <c r="E109" s="11" t="inlineStr">
        <is>
          <t>Venda</t>
        </is>
      </c>
      <c r="F109" s="20" t="n">
        <v>-2</v>
      </c>
      <c r="G109" s="12" t="n">
        <v>150</v>
      </c>
      <c r="H109" s="11" t="inlineStr">
        <is>
          <t>Relatório de vendas</t>
        </is>
      </c>
      <c r="I109" s="11" t="inlineStr">
        <is>
          <t>Relatório</t>
        </is>
      </c>
    </row>
    <row r="110">
      <c r="A110" s="19" t="n">
        <v>46287</v>
      </c>
      <c r="B110" s="11" t="inlineStr">
        <is>
          <t>16:00</t>
        </is>
      </c>
      <c r="C110" s="11" t="inlineStr">
        <is>
          <t>Anéis 9200 STD</t>
        </is>
      </c>
      <c r="D110" s="11" t="inlineStr">
        <is>
          <t>9200 STD</t>
        </is>
      </c>
      <c r="E110" s="11" t="inlineStr">
        <is>
          <t>Venda</t>
        </is>
      </c>
      <c r="F110" s="20" t="n">
        <v>-1</v>
      </c>
      <c r="G110" s="12" t="n">
        <v>8</v>
      </c>
      <c r="H110" s="11" t="inlineStr">
        <is>
          <t>Retirada do estoque</t>
        </is>
      </c>
      <c r="I110" s="11" t="inlineStr">
        <is>
          <t>Relatório</t>
        </is>
      </c>
    </row>
    <row r="111">
      <c r="A111" s="19" t="n">
        <v>46287</v>
      </c>
      <c r="B111" s="11" t="inlineStr">
        <is>
          <t>16:01</t>
        </is>
      </c>
      <c r="C111" s="11" t="inlineStr">
        <is>
          <t>Retentor 2178</t>
        </is>
      </c>
      <c r="D111" s="11" t="inlineStr">
        <is>
          <t>2178</t>
        </is>
      </c>
      <c r="E111" s="11" t="inlineStr">
        <is>
          <t>Venda</t>
        </is>
      </c>
      <c r="F111" s="20" t="n">
        <v>-5</v>
      </c>
      <c r="G111" s="12" t="n">
        <v>317</v>
      </c>
      <c r="H111" s="11" t="inlineStr">
        <is>
          <t>Retirada do estoque</t>
        </is>
      </c>
      <c r="I111" s="11" t="inlineStr">
        <is>
          <t>Relatório</t>
        </is>
      </c>
    </row>
    <row r="112">
      <c r="A112" s="19" t="n">
        <v>46287</v>
      </c>
      <c r="B112" s="11" t="inlineStr">
        <is>
          <t>16:02</t>
        </is>
      </c>
      <c r="C112" s="11" t="inlineStr">
        <is>
          <t>Vedadores 9203</t>
        </is>
      </c>
      <c r="D112" s="11" t="inlineStr">
        <is>
          <t>9203</t>
        </is>
      </c>
      <c r="E112" s="11" t="inlineStr">
        <is>
          <t>Venda</t>
        </is>
      </c>
      <c r="F112" s="20" t="n">
        <v>-12</v>
      </c>
      <c r="G112" s="12" t="n">
        <v>331</v>
      </c>
      <c r="H112" s="11" t="inlineStr">
        <is>
          <t>Retirada do estoque</t>
        </is>
      </c>
      <c r="I112" s="11" t="inlineStr">
        <is>
          <t>Relatório</t>
        </is>
      </c>
    </row>
    <row r="113">
      <c r="A113" s="19" t="n">
        <v>46287</v>
      </c>
      <c r="B113" s="11" t="inlineStr">
        <is>
          <t>16:03</t>
        </is>
      </c>
      <c r="C113" s="11" t="inlineStr">
        <is>
          <t>Retentor 1942</t>
        </is>
      </c>
      <c r="D113" s="11" t="inlineStr">
        <is>
          <t>1942</t>
        </is>
      </c>
      <c r="E113" s="11" t="inlineStr">
        <is>
          <t>Venda</t>
        </is>
      </c>
      <c r="F113" s="20" t="n">
        <v>-8</v>
      </c>
      <c r="G113" s="12" t="n">
        <v>588</v>
      </c>
      <c r="H113" s="11" t="inlineStr">
        <is>
          <t>Retirada do estoque</t>
        </is>
      </c>
      <c r="I113" s="11" t="inlineStr">
        <is>
          <t>Relatório</t>
        </is>
      </c>
    </row>
    <row r="114">
      <c r="A114" s="19" t="n">
        <v>46287</v>
      </c>
      <c r="B114" s="11" t="inlineStr">
        <is>
          <t>16:04</t>
        </is>
      </c>
      <c r="C114" s="11" t="inlineStr">
        <is>
          <t>Retentor 5601</t>
        </is>
      </c>
      <c r="D114" s="11" t="inlineStr">
        <is>
          <t>5601</t>
        </is>
      </c>
      <c r="E114" s="11" t="inlineStr">
        <is>
          <t>Venda</t>
        </is>
      </c>
      <c r="F114" s="20" t="n">
        <v>-1</v>
      </c>
      <c r="G114" s="12" t="n">
        <v>149</v>
      </c>
      <c r="H114" s="11" t="inlineStr">
        <is>
          <t>Retirada do estoque</t>
        </is>
      </c>
      <c r="I114" s="11" t="inlineStr">
        <is>
          <t>Relatório</t>
        </is>
      </c>
    </row>
    <row r="115">
      <c r="A115" s="19" t="n">
        <v>46287</v>
      </c>
      <c r="B115" s="11" t="inlineStr">
        <is>
          <t>16:05</t>
        </is>
      </c>
      <c r="C115" s="11" t="inlineStr">
        <is>
          <t>Retentor 2373</t>
        </is>
      </c>
      <c r="D115" s="11" t="inlineStr">
        <is>
          <t>2373</t>
        </is>
      </c>
      <c r="E115" s="11" t="inlineStr">
        <is>
          <t>Venda</t>
        </is>
      </c>
      <c r="F115" s="20" t="n">
        <v>-2</v>
      </c>
      <c r="G115" s="12" t="n">
        <v>95</v>
      </c>
      <c r="H115" s="11" t="inlineStr">
        <is>
          <t>Retirada do estoque</t>
        </is>
      </c>
      <c r="I115" s="11" t="inlineStr">
        <is>
          <t>Relatório</t>
        </is>
      </c>
    </row>
    <row r="116">
      <c r="A116" s="19" t="n">
        <v>46287</v>
      </c>
      <c r="B116" s="11" t="inlineStr">
        <is>
          <t>16:06</t>
        </is>
      </c>
      <c r="C116" s="11" t="inlineStr">
        <is>
          <t>Retentor 5159</t>
        </is>
      </c>
      <c r="D116" s="11" t="inlineStr">
        <is>
          <t>5159</t>
        </is>
      </c>
      <c r="E116" s="11" t="inlineStr">
        <is>
          <t>Venda</t>
        </is>
      </c>
      <c r="F116" s="20" t="n">
        <v>-1</v>
      </c>
      <c r="G116" s="12" t="n">
        <v>895</v>
      </c>
      <c r="H116" s="11" t="inlineStr">
        <is>
          <t>Retirada do estoque</t>
        </is>
      </c>
      <c r="I116" s="11" t="inlineStr">
        <is>
          <t>Relatório</t>
        </is>
      </c>
    </row>
    <row r="117">
      <c r="A117" s="19" t="n">
        <v>46287</v>
      </c>
      <c r="B117" s="11" t="inlineStr">
        <is>
          <t>16:07</t>
        </is>
      </c>
      <c r="C117" s="11" t="inlineStr">
        <is>
          <t>Retentor 2544</t>
        </is>
      </c>
      <c r="D117" s="11" t="inlineStr">
        <is>
          <t>2544</t>
        </is>
      </c>
      <c r="E117" s="11" t="inlineStr">
        <is>
          <t>Venda</t>
        </is>
      </c>
      <c r="F117" s="20" t="n">
        <v>-2</v>
      </c>
      <c r="G117" s="12" t="n">
        <v>212</v>
      </c>
      <c r="H117" s="11" t="inlineStr">
        <is>
          <t>Retirada do estoque</t>
        </is>
      </c>
      <c r="I117" s="11" t="inlineStr">
        <is>
          <t>Relatório</t>
        </is>
      </c>
    </row>
    <row r="118">
      <c r="A118" s="19" t="n">
        <v>46287</v>
      </c>
      <c r="B118" s="11" t="inlineStr">
        <is>
          <t>16:08</t>
        </is>
      </c>
      <c r="C118" s="11" t="inlineStr">
        <is>
          <t>Jogo de Anel 7224 0,50</t>
        </is>
      </c>
      <c r="D118" s="11" t="inlineStr">
        <is>
          <t>7224 0,50</t>
        </is>
      </c>
      <c r="E118" s="11" t="inlineStr">
        <is>
          <t>Venda</t>
        </is>
      </c>
      <c r="F118" s="20" t="n">
        <v>-1</v>
      </c>
      <c r="G118" s="12" t="n">
        <v>52</v>
      </c>
      <c r="H118" s="11" t="inlineStr">
        <is>
          <t>Retirada do estoque</t>
        </is>
      </c>
      <c r="I118" s="11" t="inlineStr">
        <is>
          <t>Relatório</t>
        </is>
      </c>
    </row>
    <row r="119">
      <c r="A119" s="19" t="n">
        <v>46287</v>
      </c>
      <c r="B119" s="11" t="inlineStr">
        <is>
          <t>16:09</t>
        </is>
      </c>
      <c r="C119" s="11" t="inlineStr">
        <is>
          <t>Retentor 2283</t>
        </is>
      </c>
      <c r="D119" s="11" t="inlineStr">
        <is>
          <t>2283</t>
        </is>
      </c>
      <c r="E119" s="11" t="inlineStr">
        <is>
          <t>Venda</t>
        </is>
      </c>
      <c r="F119" s="20" t="n">
        <v>-2</v>
      </c>
      <c r="G119" s="12" t="n">
        <v>268</v>
      </c>
      <c r="H119" s="11" t="inlineStr">
        <is>
          <t>Retirada do estoque</t>
        </is>
      </c>
      <c r="I119" s="11" t="inlineStr">
        <is>
          <t>Relatório</t>
        </is>
      </c>
    </row>
    <row r="120">
      <c r="A120" s="19" t="n">
        <v>46287</v>
      </c>
      <c r="B120" s="11" t="inlineStr">
        <is>
          <t>16:10</t>
        </is>
      </c>
      <c r="C120" s="11" t="inlineStr">
        <is>
          <t>Retentor 5338</t>
        </is>
      </c>
      <c r="D120" s="11" t="inlineStr">
        <is>
          <t>5338</t>
        </is>
      </c>
      <c r="E120" s="11" t="inlineStr">
        <is>
          <t>Venda</t>
        </is>
      </c>
      <c r="F120" s="20" t="n">
        <v>-3</v>
      </c>
      <c r="G120" s="12" t="n">
        <v>133</v>
      </c>
      <c r="H120" s="11" t="inlineStr">
        <is>
          <t>Retirada do estoque</t>
        </is>
      </c>
      <c r="I120" s="11" t="inlineStr">
        <is>
          <t>Relatório</t>
        </is>
      </c>
    </row>
    <row r="121">
      <c r="A121" s="19" t="n">
        <v>46287</v>
      </c>
      <c r="B121" s="11" t="inlineStr">
        <is>
          <t>16:11</t>
        </is>
      </c>
      <c r="C121" s="11" t="inlineStr">
        <is>
          <t>Retentor 2370</t>
        </is>
      </c>
      <c r="D121" s="11" t="inlineStr">
        <is>
          <t>2370</t>
        </is>
      </c>
      <c r="E121" s="11" t="inlineStr">
        <is>
          <t>Venda</t>
        </is>
      </c>
      <c r="F121" s="20" t="n">
        <v>-1</v>
      </c>
      <c r="G121" s="12" t="n">
        <v>434</v>
      </c>
      <c r="H121" s="11" t="inlineStr">
        <is>
          <t>Retirada do estoque</t>
        </is>
      </c>
      <c r="I121" s="11" t="inlineStr">
        <is>
          <t>Relatório</t>
        </is>
      </c>
    </row>
    <row r="122">
      <c r="A122" s="19" t="n">
        <v>46288</v>
      </c>
      <c r="B122" s="11" t="inlineStr">
        <is>
          <t>09:00</t>
        </is>
      </c>
      <c r="C122" s="11" t="inlineStr">
        <is>
          <t>Retentor 1942</t>
        </is>
      </c>
      <c r="D122" s="11" t="inlineStr">
        <is>
          <t>1942</t>
        </is>
      </c>
      <c r="E122" s="11" t="inlineStr">
        <is>
          <t>Venda</t>
        </is>
      </c>
      <c r="F122" s="20" t="n">
        <v>-24</v>
      </c>
      <c r="G122" s="12" t="n">
        <v>564</v>
      </c>
      <c r="H122" s="11" t="inlineStr">
        <is>
          <t>Retirada do estoque</t>
        </is>
      </c>
      <c r="I122" s="11" t="inlineStr">
        <is>
          <t>Relatório</t>
        </is>
      </c>
    </row>
    <row r="123">
      <c r="A123" s="19" t="n">
        <v>46288</v>
      </c>
      <c r="B123" s="11" t="inlineStr">
        <is>
          <t>09:01</t>
        </is>
      </c>
      <c r="C123" s="11" t="inlineStr">
        <is>
          <t>Retentor 5338</t>
        </is>
      </c>
      <c r="D123" s="11" t="inlineStr">
        <is>
          <t>5338</t>
        </is>
      </c>
      <c r="E123" s="11" t="inlineStr">
        <is>
          <t>Venda</t>
        </is>
      </c>
      <c r="F123" s="20" t="n">
        <v>-6</v>
      </c>
      <c r="G123" s="12" t="n">
        <v>127</v>
      </c>
      <c r="H123" s="11" t="inlineStr">
        <is>
          <t>Retirada do estoque</t>
        </is>
      </c>
      <c r="I123" s="11" t="inlineStr">
        <is>
          <t>Relatório</t>
        </is>
      </c>
    </row>
    <row r="124">
      <c r="A124" s="19" t="n">
        <v>46288</v>
      </c>
      <c r="B124" s="11" t="inlineStr">
        <is>
          <t>09:02</t>
        </is>
      </c>
      <c r="C124" s="11" t="inlineStr">
        <is>
          <t>Vedadores 9203</t>
        </is>
      </c>
      <c r="D124" s="11" t="inlineStr">
        <is>
          <t>9203</t>
        </is>
      </c>
      <c r="E124" s="11" t="inlineStr">
        <is>
          <t>Venda</t>
        </is>
      </c>
      <c r="F124" s="20" t="n">
        <v>-6</v>
      </c>
      <c r="G124" s="12" t="n">
        <v>325</v>
      </c>
      <c r="H124" s="11" t="inlineStr">
        <is>
          <t>Retirada do estoque</t>
        </is>
      </c>
      <c r="I124" s="11" t="inlineStr">
        <is>
          <t>Relatório</t>
        </is>
      </c>
    </row>
    <row r="125">
      <c r="A125" s="19" t="n">
        <v>46288</v>
      </c>
      <c r="B125" s="11" t="inlineStr">
        <is>
          <t>09:03</t>
        </is>
      </c>
      <c r="C125" s="11" t="inlineStr">
        <is>
          <t>Retentor 2544</t>
        </is>
      </c>
      <c r="D125" s="11" t="inlineStr">
        <is>
          <t>2544</t>
        </is>
      </c>
      <c r="E125" s="11" t="inlineStr">
        <is>
          <t>Venda</t>
        </is>
      </c>
      <c r="F125" s="20" t="n">
        <v>-1</v>
      </c>
      <c r="G125" s="12" t="n">
        <v>211</v>
      </c>
      <c r="H125" s="11" t="inlineStr">
        <is>
          <t>Retirada do estoque</t>
        </is>
      </c>
      <c r="I125" s="11" t="inlineStr">
        <is>
          <t>Relatório</t>
        </is>
      </c>
    </row>
    <row r="126">
      <c r="A126" s="19" t="n">
        <v>46288</v>
      </c>
      <c r="B126" s="11" t="inlineStr">
        <is>
          <t>09:04</t>
        </is>
      </c>
      <c r="C126" s="11" t="inlineStr">
        <is>
          <t>Retentor 5772</t>
        </is>
      </c>
      <c r="D126" s="11" t="inlineStr">
        <is>
          <t>5772</t>
        </is>
      </c>
      <c r="E126" s="11" t="inlineStr">
        <is>
          <t>Venda</t>
        </is>
      </c>
      <c r="F126" s="20" t="n">
        <v>-3</v>
      </c>
      <c r="G126" s="12" t="n">
        <v>149</v>
      </c>
      <c r="H126" s="11" t="inlineStr">
        <is>
          <t>Retirada do estoque</t>
        </is>
      </c>
      <c r="I126" s="11" t="inlineStr">
        <is>
          <t>Relatório</t>
        </is>
      </c>
    </row>
    <row r="127">
      <c r="A127" s="19" t="n">
        <v>46288</v>
      </c>
      <c r="B127" s="11" t="inlineStr">
        <is>
          <t>09:05</t>
        </is>
      </c>
      <c r="C127" s="11" t="inlineStr">
        <is>
          <t>Retentor 5159</t>
        </is>
      </c>
      <c r="D127" s="11" t="inlineStr">
        <is>
          <t>5159</t>
        </is>
      </c>
      <c r="E127" s="11" t="inlineStr">
        <is>
          <t>Venda</t>
        </is>
      </c>
      <c r="F127" s="20" t="n">
        <v>-3</v>
      </c>
      <c r="G127" s="12" t="n">
        <v>892</v>
      </c>
      <c r="H127" s="11" t="inlineStr">
        <is>
          <t>Retirada do estoque</t>
        </is>
      </c>
      <c r="I127" s="11" t="inlineStr">
        <is>
          <t>Relatório</t>
        </is>
      </c>
    </row>
    <row r="128">
      <c r="A128" s="19" t="n">
        <v>46288</v>
      </c>
      <c r="B128" s="11" t="inlineStr">
        <is>
          <t>09:06</t>
        </is>
      </c>
      <c r="C128" s="11" t="inlineStr">
        <is>
          <t>Anéis 9200 STD</t>
        </is>
      </c>
      <c r="D128" s="11" t="inlineStr">
        <is>
          <t>9200 STD</t>
        </is>
      </c>
      <c r="E128" s="11" t="inlineStr">
        <is>
          <t>Venda</t>
        </is>
      </c>
      <c r="F128" s="20" t="n">
        <v>-1</v>
      </c>
      <c r="G128" s="12" t="n">
        <v>7</v>
      </c>
      <c r="H128" s="11" t="inlineStr">
        <is>
          <t>Retirada do estoque</t>
        </is>
      </c>
      <c r="I128" s="11" t="inlineStr">
        <is>
          <t>Relatório</t>
        </is>
      </c>
    </row>
    <row r="129">
      <c r="A129" s="19" t="n">
        <v>46288</v>
      </c>
      <c r="B129" s="11" t="inlineStr">
        <is>
          <t>09:07</t>
        </is>
      </c>
      <c r="C129" s="11" t="inlineStr">
        <is>
          <t>Anel SDA 7092</t>
        </is>
      </c>
      <c r="D129" s="11" t="inlineStr">
        <is>
          <t>7092</t>
        </is>
      </c>
      <c r="E129" s="11" t="inlineStr">
        <is>
          <t>Venda</t>
        </is>
      </c>
      <c r="F129" s="20" t="n">
        <v>-1</v>
      </c>
      <c r="G129" s="12" t="n">
        <v>22</v>
      </c>
      <c r="H129" s="11" t="inlineStr">
        <is>
          <t>Retirada do estoque</t>
        </is>
      </c>
      <c r="I129" s="11" t="inlineStr">
        <is>
          <t>Relatório</t>
        </is>
      </c>
    </row>
    <row r="130">
      <c r="A130" s="19" t="n">
        <v>46288</v>
      </c>
      <c r="B130" s="11" t="inlineStr">
        <is>
          <t>09:08</t>
        </is>
      </c>
      <c r="C130" s="11" t="inlineStr">
        <is>
          <t>Bronzina de Biela SBB 1035-J 0,25</t>
        </is>
      </c>
      <c r="D130" s="11" t="inlineStr">
        <is>
          <t>1035-J</t>
        </is>
      </c>
      <c r="E130" s="11" t="inlineStr">
        <is>
          <t>Venda</t>
        </is>
      </c>
      <c r="F130" s="20" t="n">
        <v>-1</v>
      </c>
      <c r="G130" s="12" t="n">
        <v>22</v>
      </c>
      <c r="H130" s="11" t="inlineStr">
        <is>
          <t>Retirada do estoque</t>
        </is>
      </c>
      <c r="I130" s="11" t="inlineStr">
        <is>
          <t>Relatório</t>
        </is>
      </c>
    </row>
    <row r="131">
      <c r="A131" s="19" t="n">
        <v>46288</v>
      </c>
      <c r="B131" s="11" t="inlineStr">
        <is>
          <t>09:09</t>
        </is>
      </c>
      <c r="C131" s="11" t="inlineStr">
        <is>
          <t>Retentor 2178</t>
        </is>
      </c>
      <c r="D131" s="11" t="inlineStr">
        <is>
          <t>2178</t>
        </is>
      </c>
      <c r="E131" s="11" t="inlineStr">
        <is>
          <t>Venda</t>
        </is>
      </c>
      <c r="F131" s="20" t="n">
        <v>-1</v>
      </c>
      <c r="G131" s="12" t="n">
        <v>316</v>
      </c>
      <c r="H131" s="11" t="inlineStr">
        <is>
          <t>Retirada do estoque</t>
        </is>
      </c>
      <c r="I131" s="11" t="inlineStr">
        <is>
          <t>Relatório</t>
        </is>
      </c>
    </row>
    <row r="132">
      <c r="A132" s="19" t="n">
        <v>46290</v>
      </c>
      <c r="B132" s="11" t="inlineStr">
        <is>
          <t>09:00</t>
        </is>
      </c>
      <c r="C132" s="11" t="inlineStr">
        <is>
          <t>Retentor 2178</t>
        </is>
      </c>
      <c r="D132" s="11" t="inlineStr">
        <is>
          <t>2178</t>
        </is>
      </c>
      <c r="E132" s="11" t="inlineStr">
        <is>
          <t>Venda</t>
        </is>
      </c>
      <c r="F132" s="20" t="n">
        <v>-5</v>
      </c>
      <c r="G132" s="12" t="n">
        <v>311</v>
      </c>
      <c r="H132" s="11" t="inlineStr">
        <is>
          <t>Retirada do estoque</t>
        </is>
      </c>
      <c r="I132" s="11" t="inlineStr">
        <is>
          <t>Relatório</t>
        </is>
      </c>
    </row>
    <row r="133">
      <c r="A133" s="19" t="n">
        <v>46290</v>
      </c>
      <c r="B133" s="11" t="inlineStr">
        <is>
          <t>09:01</t>
        </is>
      </c>
      <c r="C133" s="11" t="inlineStr">
        <is>
          <t>Anel 8126 STD</t>
        </is>
      </c>
      <c r="D133" s="11" t="inlineStr">
        <is>
          <t>8126 STD</t>
        </is>
      </c>
      <c r="E133" s="11" t="inlineStr">
        <is>
          <t>Venda</t>
        </is>
      </c>
      <c r="F133" s="20" t="n">
        <v>-2</v>
      </c>
      <c r="G133" s="12" t="n">
        <v>289</v>
      </c>
      <c r="H133" s="11" t="inlineStr">
        <is>
          <t>Retirada do estoque</t>
        </is>
      </c>
      <c r="I133" s="11" t="inlineStr">
        <is>
          <t>Relatório</t>
        </is>
      </c>
    </row>
    <row r="134">
      <c r="A134" s="19" t="n">
        <v>46290</v>
      </c>
      <c r="B134" s="11" t="inlineStr">
        <is>
          <t>09:02</t>
        </is>
      </c>
      <c r="C134" s="11" t="inlineStr">
        <is>
          <t>Retentor 5338</t>
        </is>
      </c>
      <c r="D134" s="11" t="inlineStr">
        <is>
          <t>5338</t>
        </is>
      </c>
      <c r="E134" s="11" t="inlineStr">
        <is>
          <t>Venda</t>
        </is>
      </c>
      <c r="F134" s="20" t="n">
        <v>-5</v>
      </c>
      <c r="G134" s="12" t="n">
        <v>122</v>
      </c>
      <c r="H134" s="11" t="inlineStr">
        <is>
          <t>Retirada do estoque</t>
        </is>
      </c>
      <c r="I134" s="11" t="inlineStr">
        <is>
          <t>Relatório</t>
        </is>
      </c>
    </row>
    <row r="135">
      <c r="A135" s="19" t="n">
        <v>46290</v>
      </c>
      <c r="B135" s="11" t="inlineStr">
        <is>
          <t>09:03</t>
        </is>
      </c>
      <c r="C135" s="11" t="inlineStr">
        <is>
          <t>Retentor 1942</t>
        </is>
      </c>
      <c r="D135" s="11" t="inlineStr">
        <is>
          <t>1942</t>
        </is>
      </c>
      <c r="E135" s="11" t="inlineStr">
        <is>
          <t>Venda</t>
        </is>
      </c>
      <c r="F135" s="20" t="n">
        <v>-6</v>
      </c>
      <c r="G135" s="12" t="n">
        <v>558</v>
      </c>
      <c r="H135" s="11" t="inlineStr">
        <is>
          <t>Retirada do estoque</t>
        </is>
      </c>
      <c r="I135" s="11" t="inlineStr">
        <is>
          <t>Relatório</t>
        </is>
      </c>
    </row>
    <row r="136">
      <c r="A136" s="19" t="n">
        <v>46290</v>
      </c>
      <c r="B136" s="11" t="inlineStr">
        <is>
          <t>09:04</t>
        </is>
      </c>
      <c r="C136" s="11" t="inlineStr">
        <is>
          <t>Vedadores 9203</t>
        </is>
      </c>
      <c r="D136" s="11" t="inlineStr">
        <is>
          <t>9203</t>
        </is>
      </c>
      <c r="E136" s="11" t="inlineStr">
        <is>
          <t>Venda</t>
        </is>
      </c>
      <c r="F136" s="20" t="n">
        <v>-7</v>
      </c>
      <c r="G136" s="12" t="n">
        <v>318</v>
      </c>
      <c r="H136" s="11" t="inlineStr">
        <is>
          <t>Retirada do estoque</t>
        </is>
      </c>
      <c r="I136" s="11" t="inlineStr">
        <is>
          <t>Relatório</t>
        </is>
      </c>
    </row>
    <row r="137">
      <c r="A137" s="19" t="n">
        <v>46290</v>
      </c>
      <c r="B137" s="11" t="inlineStr">
        <is>
          <t>09:05</t>
        </is>
      </c>
      <c r="C137" s="11" t="inlineStr">
        <is>
          <t>Retentor 5601</t>
        </is>
      </c>
      <c r="D137" s="11" t="inlineStr">
        <is>
          <t>5601</t>
        </is>
      </c>
      <c r="E137" s="11" t="inlineStr">
        <is>
          <t>Venda</t>
        </is>
      </c>
      <c r="F137" s="20" t="n">
        <v>-1</v>
      </c>
      <c r="G137" s="12" t="n">
        <v>148</v>
      </c>
      <c r="H137" s="11" t="inlineStr">
        <is>
          <t>Retirada do estoque</t>
        </is>
      </c>
      <c r="I137" s="11" t="inlineStr">
        <is>
          <t>Relatório</t>
        </is>
      </c>
    </row>
    <row r="138">
      <c r="A138" s="19" t="n">
        <v>46290</v>
      </c>
      <c r="B138" s="11" t="inlineStr">
        <is>
          <t>09:06</t>
        </is>
      </c>
      <c r="C138" s="11" t="inlineStr">
        <is>
          <t>Retentor 2373</t>
        </is>
      </c>
      <c r="D138" s="11" t="inlineStr">
        <is>
          <t>2373</t>
        </is>
      </c>
      <c r="E138" s="11" t="inlineStr">
        <is>
          <t>Venda</t>
        </is>
      </c>
      <c r="F138" s="20" t="n">
        <v>-1</v>
      </c>
      <c r="G138" s="12" t="n">
        <v>94</v>
      </c>
      <c r="H138" s="11" t="inlineStr">
        <is>
          <t>Retirada do estoque</t>
        </is>
      </c>
      <c r="I138" s="11" t="inlineStr">
        <is>
          <t>Relatório</t>
        </is>
      </c>
    </row>
    <row r="139">
      <c r="A139" s="19" t="n">
        <v>46290</v>
      </c>
      <c r="B139" s="11" t="inlineStr">
        <is>
          <t>09:07</t>
        </is>
      </c>
      <c r="C139" s="11" t="inlineStr">
        <is>
          <t>Retentor 5266</t>
        </is>
      </c>
      <c r="D139" s="11" t="inlineStr">
        <is>
          <t>5266</t>
        </is>
      </c>
      <c r="E139" s="11" t="inlineStr">
        <is>
          <t>Venda</t>
        </is>
      </c>
      <c r="F139" s="20" t="n">
        <v>-1</v>
      </c>
      <c r="G139" s="12" t="n">
        <v>15</v>
      </c>
      <c r="H139" s="11" t="inlineStr">
        <is>
          <t>Retirada do estoque</t>
        </is>
      </c>
      <c r="I139" s="11" t="inlineStr">
        <is>
          <t>Relatório</t>
        </is>
      </c>
    </row>
    <row r="140">
      <c r="A140" s="19" t="n">
        <v>46290</v>
      </c>
      <c r="B140" s="11" t="inlineStr">
        <is>
          <t>09:08</t>
        </is>
      </c>
      <c r="C140" s="11" t="inlineStr">
        <is>
          <t>Retentor 5772</t>
        </is>
      </c>
      <c r="D140" s="11" t="inlineStr">
        <is>
          <t>5772</t>
        </is>
      </c>
      <c r="E140" s="11" t="inlineStr">
        <is>
          <t>Venda</t>
        </is>
      </c>
      <c r="F140" s="20" t="n">
        <v>-1</v>
      </c>
      <c r="G140" s="12" t="n">
        <v>148</v>
      </c>
      <c r="H140" s="11" t="inlineStr">
        <is>
          <t>Retirada do estoque</t>
        </is>
      </c>
      <c r="I140" s="11" t="inlineStr">
        <is>
          <t>Relatório</t>
        </is>
      </c>
    </row>
    <row r="141">
      <c r="A141" s="19" t="n">
        <v>46290</v>
      </c>
      <c r="B141" s="11" t="inlineStr">
        <is>
          <t>09:09</t>
        </is>
      </c>
      <c r="C141" s="11" t="inlineStr">
        <is>
          <t>Retentor 1135</t>
        </is>
      </c>
      <c r="D141" s="11" t="inlineStr">
        <is>
          <t>1135</t>
        </is>
      </c>
      <c r="E141" s="11" t="inlineStr">
        <is>
          <t>Venda</t>
        </is>
      </c>
      <c r="F141" s="20" t="n">
        <v>-1</v>
      </c>
      <c r="G141" s="12" t="n">
        <v>116</v>
      </c>
      <c r="H141" s="11" t="inlineStr">
        <is>
          <t>Retirada do estoque</t>
        </is>
      </c>
      <c r="I141" s="11" t="inlineStr">
        <is>
          <t>Relatório</t>
        </is>
      </c>
    </row>
    <row r="142">
      <c r="A142" s="19" t="n">
        <v>46290</v>
      </c>
      <c r="B142" s="11" t="inlineStr">
        <is>
          <t>09:10</t>
        </is>
      </c>
      <c r="C142" s="11" t="inlineStr">
        <is>
          <t>Jogo de Anel 7224 0,50</t>
        </is>
      </c>
      <c r="D142" s="11" t="inlineStr">
        <is>
          <t>7224 0,50</t>
        </is>
      </c>
      <c r="E142" s="11" t="inlineStr">
        <is>
          <t>Venda</t>
        </is>
      </c>
      <c r="F142" s="20" t="n">
        <v>-1</v>
      </c>
      <c r="G142" s="12" t="n">
        <v>51</v>
      </c>
      <c r="H142" s="11" t="inlineStr">
        <is>
          <t>Retirada do estoque</t>
        </is>
      </c>
      <c r="I142" s="11" t="inlineStr">
        <is>
          <t>Relatório</t>
        </is>
      </c>
    </row>
    <row r="143">
      <c r="A143" s="19" t="n">
        <v>46290</v>
      </c>
      <c r="B143" s="11" t="inlineStr">
        <is>
          <t>18:47</t>
        </is>
      </c>
      <c r="C143" s="11" t="inlineStr">
        <is>
          <t>Anéis 8126 0,50</t>
        </is>
      </c>
      <c r="D143" s="11" t="inlineStr">
        <is>
          <t>8126 0,50</t>
        </is>
      </c>
      <c r="E143" s="11" t="inlineStr">
        <is>
          <t>Entrada</t>
        </is>
      </c>
      <c r="F143" s="20" t="n">
        <v>1</v>
      </c>
      <c r="G143" s="12" t="n">
        <v>1</v>
      </c>
      <c r="H143" s="11" t="inlineStr"/>
      <c r="I143" s="11" t="inlineStr">
        <is>
          <t>App</t>
        </is>
      </c>
    </row>
    <row r="144">
      <c r="A144" s="19" t="n">
        <v>46290</v>
      </c>
      <c r="B144" s="11" t="inlineStr">
        <is>
          <t>18:47</t>
        </is>
      </c>
      <c r="C144" s="11" t="inlineStr">
        <is>
          <t>Retentor 5702</t>
        </is>
      </c>
      <c r="D144" s="11" t="inlineStr">
        <is>
          <t>5702</t>
        </is>
      </c>
      <c r="E144" s="11" t="inlineStr">
        <is>
          <t>Entrada</t>
        </is>
      </c>
      <c r="F144" s="20" t="n">
        <v>3</v>
      </c>
      <c r="G144" s="12" t="n">
        <v>3</v>
      </c>
      <c r="H144" s="11" t="inlineStr"/>
      <c r="I144" s="11" t="inlineStr">
        <is>
          <t>App</t>
        </is>
      </c>
    </row>
  </sheetData>
  <autoFilter ref="A1:I144"/>
  <conditionalFormatting sqref="F2:F144">
    <cfRule type="cellIs" priority="1" operator="lessThan" dxfId="2">
      <formula>0</formula>
    </cfRule>
    <cfRule type="cellIs" priority="2" operator="greaterThan" dxfId="3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2026-09-25T19:01:02Z</dcterms:created>
  <dcterms:modified xsi:type="dcterms:W3CDTF">2026-09-25T19:01:02Z</dcterms:modified>
</cp:coreProperties>
</file>