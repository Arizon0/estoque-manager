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Galpão por SKU" sheetId="2" state="visible" r:id="rId2"/>
  </sheets>
  <definedNames>
    <definedName name="_xlnm._FilterDatabase" localSheetId="1" hidden="1">'Galpão por SKU'!$A$1:$Q$38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-R$ #,##0.00;&quot;—&quot;"/>
    <numFmt numFmtId="165" formatCode="0.0%;-0.0%;&quot;—&quot;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b val="1"/>
      <sz val="10"/>
    </font>
    <font>
      <name val="Arial"/>
      <b val="1"/>
      <color rgb="FF0C5B6A"/>
      <sz val="15"/>
    </font>
    <font>
      <name val="Arial"/>
      <i val="1"/>
      <color rgb="FF5D7078"/>
      <sz val="10"/>
    </font>
    <font>
      <name val="Arial"/>
      <color rgb="FF5D7078"/>
      <sz val="9"/>
    </font>
    <font>
      <name val="Arial"/>
      <b val="1"/>
      <color rgb="FF5D7078"/>
      <sz val="9"/>
    </font>
    <font>
      <name val="Arial"/>
      <b val="1"/>
      <color rgb="FF0C5B6A"/>
      <sz val="12"/>
    </font>
  </fonts>
  <fills count="5">
    <fill>
      <patternFill/>
    </fill>
    <fill>
      <patternFill patternType="gray125"/>
    </fill>
    <fill>
      <patternFill patternType="solid">
        <fgColor rgb="FF0C5B6A"/>
      </patternFill>
    </fill>
    <fill>
      <patternFill patternType="solid">
        <fgColor rgb="FFFFF3C4"/>
      </patternFill>
    </fill>
    <fill>
      <patternFill patternType="solid">
        <fgColor rgb="FFF2F5F6"/>
      </patternFill>
    </fill>
  </fills>
  <borders count="3">
    <border>
      <left/>
      <right/>
      <top/>
      <bottom/>
      <diagonal/>
    </border>
    <border>
      <bottom style="thin">
        <color rgb="FFD6E0E4"/>
      </bottom>
    </border>
    <border>
      <top style="medium">
        <color rgb="FF0C5B6A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7" fillId="0" borderId="1" applyAlignment="1" pivotButton="0" quotePrefix="0" xfId="0">
      <alignment vertical="top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8" fillId="0" borderId="1" applyAlignment="1" pivotButton="0" quotePrefix="0" xfId="0">
      <alignment vertical="top" wrapText="1"/>
    </xf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164" fontId="3" fillId="3" borderId="1" pivotButton="0" quotePrefix="0" xfId="0"/>
    <xf numFmtId="166" fontId="2" fillId="0" borderId="1" pivotButton="0" quotePrefix="0" xfId="0"/>
    <xf numFmtId="0" fontId="4" fillId="4" borderId="2" pivotButton="0" quotePrefix="0" xfId="0"/>
    <xf numFmtId="3" fontId="4" fillId="4" borderId="2" pivotButton="0" quotePrefix="0" xfId="0"/>
    <xf numFmtId="164" fontId="4" fillId="4" borderId="2" pivotButton="0" quotePrefix="0" xfId="0"/>
    <xf numFmtId="165" fontId="4" fillId="4" borderId="2" pivotButton="0" quotePrefix="0" xfId="0"/>
  </cellXfs>
  <cellStyles count="1">
    <cellStyle name="Normal" xfId="0" builtinId="0" hidden="0"/>
  </cellStyles>
  <dxfs count="2">
    <dxf>
      <font>
        <name val="Arial"/>
        <b val="1"/>
        <color rgb="FFAF2B23"/>
        <sz val="10"/>
      </font>
      <fill>
        <patternFill patternType="solid">
          <fgColor rgb="FFFAE6E4"/>
        </patternFill>
      </fill>
    </dxf>
    <dxf>
      <font>
        <name val="Arial"/>
        <b val="1"/>
        <color rgb="FF9D5C05"/>
        <sz val="10"/>
      </font>
      <fill>
        <patternFill patternType="solid">
          <fgColor rgb="FFFBEE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20" customWidth="1" min="4" max="4"/>
    <col width="18" customWidth="1" min="5" max="5"/>
    <col width="10" customWidth="1" min="6" max="6"/>
    <col width="56" customWidth="1" min="7" max="7"/>
  </cols>
  <sheetData>
    <row r="1">
      <c r="A1" s="1" t="inlineStr">
        <is>
          <t>Seu galpão — projeção de 25/09/2026</t>
        </is>
      </c>
    </row>
    <row r="2">
      <c r="A2" s="2" t="inlineStr">
        <is>
          <t>Fonte: planilha de estoque do galpão + relatório de estoque Full do Mercado Livre.</t>
        </is>
      </c>
    </row>
    <row r="4" ht="30" customHeight="1">
      <c r="A4" s="3" t="inlineStr">
        <is>
          <t>Categoria</t>
        </is>
      </c>
      <c r="B4" s="3" t="inlineStr">
        <is>
          <t>Unidades</t>
        </is>
      </c>
      <c r="C4" s="3" t="inlineStr">
        <is>
          <t>Custo parado (R$)</t>
        </is>
      </c>
      <c r="D4" s="3" t="inlineStr">
        <is>
          <t>Receita projetada (R$)</t>
        </is>
      </c>
      <c r="E4" s="3" t="inlineStr">
        <is>
          <t>Margem projetada (R$)</t>
        </is>
      </c>
      <c r="F4" s="3" t="inlineStr">
        <is>
          <t>Margem (%)</t>
        </is>
      </c>
      <c r="G4" s="3" t="inlineStr">
        <is>
          <t>Observação</t>
        </is>
      </c>
    </row>
    <row r="5">
      <c r="A5" s="4" t="inlineStr">
        <is>
          <t>Anéis</t>
        </is>
      </c>
      <c r="B5" s="5">
        <f>SUMIFS('Galpão por SKU'!D2:D38,'Galpão por SKU'!C2:C38,A5,'Galpão por SKU'!F2:F38,"&gt;0")</f>
        <v>418</v>
      </c>
      <c r="C5" s="6">
        <f>SUMIFS('Galpão por SKU'!G2:G38,'Galpão por SKU'!C2:C38,A5,'Galpão por SKU'!F2:F38,"&gt;0")</f>
        <v>31350</v>
      </c>
      <c r="D5" s="6">
        <f>SUMIFS('Galpão por SKU'!H2:H38,'Galpão por SKU'!C2:C38,A5)</f>
        <v>59869.48</v>
      </c>
      <c r="E5" s="6">
        <f>D5-C5</f>
        <v>28519.48</v>
      </c>
      <c r="F5" s="7">
        <f>IF(D5&gt;0,E5/D5,"")</f>
        <v>0.4763609104338304</v>
      </c>
      <c r="G5" s="8" t="n"/>
    </row>
    <row r="6">
      <c r="A6" s="4" t="inlineStr">
        <is>
          <t>Bronzina</t>
        </is>
      </c>
      <c r="B6" s="5">
        <f>SUMIFS('Galpão por SKU'!D2:D38,'Galpão por SKU'!C2:C38,A6,'Galpão por SKU'!F2:F38,"&gt;0")</f>
        <v>22</v>
      </c>
      <c r="C6" s="6">
        <f>SUMIFS('Galpão por SKU'!G2:G38,'Galpão por SKU'!C2:C38,A6,'Galpão por SKU'!F2:F38,"&gt;0")</f>
        <v>704</v>
      </c>
      <c r="D6" s="6">
        <f>SUMIFS('Galpão por SKU'!H2:H38,'Galpão por SKU'!C2:C38,A6)</f>
        <v>1523.5</v>
      </c>
      <c r="E6" s="6">
        <f>D6-C6</f>
        <v>819.5</v>
      </c>
      <c r="F6" s="7">
        <f>IF(D6&gt;0,E6/D6,"")</f>
        <v>0.5379061371841155</v>
      </c>
      <c r="G6" s="8" t="n"/>
    </row>
    <row r="7">
      <c r="A7" s="4" t="inlineStr">
        <is>
          <t>Jogo de Anel</t>
        </is>
      </c>
      <c r="B7" s="5">
        <f>SUMIFS('Galpão por SKU'!D2:D38,'Galpão por SKU'!C2:C38,A7,'Galpão por SKU'!F2:F38,"&gt;0")</f>
        <v>86</v>
      </c>
      <c r="C7" s="6">
        <f>SUMIFS('Galpão por SKU'!G2:G38,'Galpão por SKU'!C2:C38,A7,'Galpão por SKU'!F2:F38,"&gt;0")</f>
        <v>6450</v>
      </c>
      <c r="D7" s="6">
        <f>SUMIFS('Galpão por SKU'!H2:H38,'Galpão por SKU'!C2:C38,A7)</f>
        <v>13238.4</v>
      </c>
      <c r="E7" s="6">
        <f>D7-C7</f>
        <v>6788.4</v>
      </c>
      <c r="F7" s="7">
        <f>IF(D7&gt;0,E7/D7,"")</f>
        <v>0.5127810007251632</v>
      </c>
      <c r="G7" s="8" t="n"/>
    </row>
    <row r="8">
      <c r="A8" s="4" t="inlineStr">
        <is>
          <t>Retentor</t>
        </is>
      </c>
      <c r="B8" s="5">
        <f>SUMIFS('Galpão por SKU'!D2:D38,'Galpão por SKU'!C2:C38,A8,'Galpão por SKU'!F2:F38,"&gt;0")</f>
        <v>5540</v>
      </c>
      <c r="C8" s="6">
        <f>SUMIFS('Galpão por SKU'!G2:G38,'Galpão por SKU'!C2:C38,A8,'Galpão por SKU'!F2:F38,"&gt;0")</f>
        <v>72232.5</v>
      </c>
      <c r="D8" s="6">
        <f>SUMIFS('Galpão por SKU'!H2:H38,'Galpão por SKU'!C2:C38,A8)</f>
        <v>124352.38</v>
      </c>
      <c r="E8" s="6">
        <f>D8-C8</f>
        <v>52119.88</v>
      </c>
      <c r="F8" s="7">
        <f>IF(D8&gt;0,E8/D8,"")</f>
        <v>0.419130538555032</v>
      </c>
      <c r="G8" s="8" t="n"/>
    </row>
    <row r="9">
      <c r="A9" s="4" t="inlineStr">
        <is>
          <t>Vedador</t>
        </is>
      </c>
      <c r="B9" s="5">
        <f>SUMIFS('Galpão por SKU'!D2:D38,'Galpão por SKU'!C2:C38,A9,'Galpão por SKU'!F2:F38,"&gt;0")</f>
        <v>318</v>
      </c>
      <c r="C9" s="6">
        <f>SUMIFS('Galpão por SKU'!G2:G38,'Galpão por SKU'!C2:C38,A9,'Galpão por SKU'!F2:F38,"&gt;0")</f>
        <v>2862</v>
      </c>
      <c r="D9" s="6">
        <f>SUMIFS('Galpão por SKU'!H2:H38,'Galpão por SKU'!C2:C38,A9)</f>
        <v>4248.48</v>
      </c>
      <c r="E9" s="6">
        <f>D9-C9</f>
        <v>1386.48</v>
      </c>
      <c r="F9" s="7">
        <f>IF(D9&gt;0,E9/D9,"")</f>
        <v>0.3263473053892216</v>
      </c>
      <c r="G9" s="8" t="n"/>
    </row>
    <row r="10">
      <c r="A10" s="9" t="inlineStr">
        <is>
          <t>SUBTOTAL — ITENS COM PREÇO</t>
        </is>
      </c>
      <c r="B10" s="10">
        <f>SUM(B5:B9)</f>
        <v>6384</v>
      </c>
      <c r="C10" s="11">
        <f>SUM(C5:C9)</f>
        <v>113598.5</v>
      </c>
      <c r="D10" s="11">
        <f>SUM(D5:D9)</f>
        <v>203232.24</v>
      </c>
      <c r="E10" s="11">
        <f>D10-C10</f>
        <v>89633.74</v>
      </c>
      <c r="F10" s="12">
        <f>IF(D10&gt;0,E10/D10,"")</f>
        <v>0.44104094901478236</v>
      </c>
      <c r="G10" s="13" t="n"/>
    </row>
    <row r="11">
      <c r="A11" s="4" t="inlineStr">
        <is>
          <t>Sem preço de venda</t>
        </is>
      </c>
      <c r="B11" s="5">
        <f>SUM('Galpão por SKU'!D2:D38)-B10</f>
        <v>90</v>
      </c>
      <c r="C11" s="6">
        <f>SUM('Galpão por SKU'!G2:G38)-C10</f>
        <v>6750</v>
      </c>
      <c r="D11" s="6" t="n">
        <v>0</v>
      </c>
      <c r="E11" s="6" t="n"/>
      <c r="F11" s="7" t="n"/>
      <c r="G11" s="8" t="inlineStr">
        <is>
          <t>2900, 8566 STD, 9403 STD: entram no custo, mas não na receita, até ter preço de venda.</t>
        </is>
      </c>
    </row>
    <row r="12">
      <c r="A12" s="14" t="inlineStr">
        <is>
          <t>TOTAL DO GALPÃO</t>
        </is>
      </c>
      <c r="B12" s="15">
        <f>SUM('Galpão por SKU'!D2:D38)</f>
        <v>6474</v>
      </c>
      <c r="C12" s="16">
        <f>SUM('Galpão por SKU'!G2:G38)</f>
        <v>120348.5</v>
      </c>
      <c r="D12" s="16">
        <f>SUM('Galpão por SKU'!H2:H38)</f>
        <v>203232.24</v>
      </c>
      <c r="E12" s="16">
        <f>D12-C12</f>
        <v>82883.74</v>
      </c>
      <c r="F12" s="17">
        <f>IF(D12&gt;0,E12/D12,"")</f>
        <v>0.4078277147365989</v>
      </c>
      <c r="G12" s="18" t="inlineStr">
        <is>
          <t>A margem total desconta o custo dos itens sem preço de venda.</t>
        </is>
      </c>
    </row>
    <row r="14">
      <c r="A14" s="19" t="inlineStr">
        <is>
          <t>Visão da empresa (galpão + Mercado Livre Full)</t>
        </is>
      </c>
    </row>
    <row r="15" ht="30" customHeight="1">
      <c r="A15" s="3" t="inlineStr">
        <is>
          <t>Onde está</t>
        </is>
      </c>
      <c r="B15" s="3" t="inlineStr">
        <is>
          <t>Unidades</t>
        </is>
      </c>
      <c r="C15" s="3" t="inlineStr">
        <is>
          <t>Custo parado (R$)</t>
        </is>
      </c>
      <c r="D15" s="3" t="inlineStr">
        <is>
          <t>Receita projetada (R$)</t>
        </is>
      </c>
      <c r="E15" s="3" t="inlineStr">
        <is>
          <t>Margem projetada (R$)</t>
        </is>
      </c>
      <c r="F15" s="3" t="inlineStr">
        <is>
          <t>Margem (%)</t>
        </is>
      </c>
      <c r="G15" s="3" t="inlineStr">
        <is>
          <t>Observação</t>
        </is>
      </c>
    </row>
    <row r="16">
      <c r="A16" s="4" t="inlineStr">
        <is>
          <t>Seu galpão</t>
        </is>
      </c>
      <c r="B16" s="5">
        <f>B12</f>
        <v>6474</v>
      </c>
      <c r="C16" s="6">
        <f>C12</f>
        <v>120348.5</v>
      </c>
      <c r="D16" s="6">
        <f>D12</f>
        <v>203232.24</v>
      </c>
      <c r="E16" s="6">
        <f>E12</f>
        <v>82883.74</v>
      </c>
      <c r="F16" s="7">
        <f>F12</f>
        <v>0.4078277147365989</v>
      </c>
      <c r="G16" s="8" t="n"/>
    </row>
    <row r="17">
      <c r="A17" s="4" t="inlineStr">
        <is>
          <t>Dentro do Full</t>
        </is>
      </c>
      <c r="B17" s="5">
        <f>SUM('Galpão por SKU'!L2:L38)</f>
        <v>1660</v>
      </c>
      <c r="C17" s="6">
        <f>SUMPRODUCT('Galpão por SKU'!L2:L38,'Galpão por SKU'!E2:E38)</f>
        <v>38792.0</v>
      </c>
      <c r="D17" s="6">
        <f>SUMPRODUCT('Galpão por SKU'!L2:L38,'Galpão por SKU'!F2:F38)</f>
        <v>66464.81</v>
      </c>
      <c r="E17" s="6">
        <f>D17-C17</f>
        <v>27672.81</v>
      </c>
      <c r="F17" s="7">
        <f>IF(D17&gt;0,E17/D17,"")</f>
        <v>0.4163528038370982</v>
      </c>
      <c r="G17" s="8" t="inlineStr">
        <is>
          <t>Aptas, em transferência entre galpões do ML e não aptas.</t>
        </is>
      </c>
    </row>
    <row r="18">
      <c r="A18" s="4" t="inlineStr">
        <is>
          <t>A caminho do Full</t>
        </is>
      </c>
      <c r="B18" s="5">
        <f>SUM('Galpão por SKU'!M2:M38)</f>
        <v>648</v>
      </c>
      <c r="C18" s="6">
        <f>SUMPRODUCT('Galpão por SKU'!M2:M38,'Galpão por SKU'!E2:E38)</f>
        <v>23450.0</v>
      </c>
      <c r="D18" s="6">
        <f>SUMPRODUCT('Galpão por SKU'!M2:M38,'Galpão por SKU'!F2:F38)</f>
        <v>38001.45</v>
      </c>
      <c r="E18" s="6">
        <f>D18-C18</f>
        <v>14551.45</v>
      </c>
      <c r="F18" s="7">
        <f>IF(D18&gt;0,E18/D18,"")</f>
        <v>0.3829182833812921</v>
      </c>
      <c r="G18" s="8" t="inlineStr">
        <is>
          <t>Saíram do galpão antes da contagem de 18/09.</t>
        </is>
      </c>
    </row>
    <row r="19">
      <c r="A19" s="4" t="inlineStr">
        <is>
          <t>Devoluções voltando ao Full</t>
        </is>
      </c>
      <c r="B19" s="5">
        <f>SUM('Galpão por SKU'!N2:N38)</f>
        <v>34</v>
      </c>
      <c r="C19" s="6">
        <f>SUMPRODUCT('Galpão por SKU'!N2:N38,'Galpão por SKU'!E2:E38)</f>
        <v>1480.0</v>
      </c>
      <c r="D19" s="6">
        <f>SUMPRODUCT('Galpão por SKU'!N2:N38,'Galpão por SKU'!F2:F38)</f>
        <v>2259.47</v>
      </c>
      <c r="E19" s="6">
        <f>D19-C19</f>
        <v>779.47</v>
      </c>
      <c r="F19" s="7">
        <f>IF(D19&gt;0,E19/D19,"")</f>
        <v>0.344979132274383</v>
      </c>
      <c r="G19" s="8" t="inlineStr">
        <is>
          <t>Podem voltar avariadas: o valor é o máximo.</t>
        </is>
      </c>
    </row>
    <row r="20">
      <c r="A20" s="14" t="inlineStr">
        <is>
          <t>TOTAL DA EMPRESA</t>
        </is>
      </c>
      <c r="B20" s="15">
        <f>SUM(B16:B19)</f>
        <v>8816</v>
      </c>
      <c r="C20" s="16">
        <f>SUM(C16:C19)</f>
        <v>184070.5</v>
      </c>
      <c r="D20" s="16">
        <f>SUM(D16:D19)</f>
        <v>309957.97</v>
      </c>
      <c r="E20" s="16">
        <f>D20-C20</f>
        <v>125887.47</v>
      </c>
      <c r="F20" s="17">
        <f>IF(D20&gt;0,E20/D20,"")</f>
        <v>0.40614367812513424</v>
      </c>
      <c r="G20" s="18" t="inlineStr">
        <is>
          <t>Mesmos números da planilha do Full.</t>
        </is>
      </c>
    </row>
    <row r="22">
      <c r="A22" s="19" t="inlineStr">
        <is>
          <t>Giro — quanto tempo o estoque dura</t>
        </is>
      </c>
    </row>
    <row r="23" ht="30" customHeight="1">
      <c r="A23" s="3" t="inlineStr">
        <is>
          <t>Indicador</t>
        </is>
      </c>
      <c r="B23" s="3" t="inlineStr">
        <is>
          <t>SKUs</t>
        </is>
      </c>
      <c r="C23" s="3" t="inlineStr">
        <is>
          <t>Custo parado no galpão (R$)</t>
        </is>
      </c>
      <c r="D23" s="3" t="inlineStr"/>
      <c r="E23" s="3" t="inlineStr"/>
      <c r="F23" s="3" t="inlineStr"/>
      <c r="G23" s="3" t="inlineStr">
        <is>
          <t>Observação</t>
        </is>
      </c>
    </row>
    <row r="24">
      <c r="A24" s="4" t="inlineStr">
        <is>
          <t>Mais de 6 meses de estoque</t>
        </is>
      </c>
      <c r="B24" s="5">
        <f>COUNTIF('Galpão por SKU'!Q2:Q38,"&gt;6")</f>
        <v>12</v>
      </c>
      <c r="C24" s="6">
        <f>SUMIFS('Galpão por SKU'!G2:G38,'Galpão por SKU'!Q2:Q38,"&gt;6")</f>
        <v>57487.5</v>
      </c>
      <c r="D24" s="6" t="n"/>
      <c r="E24" s="6" t="n"/>
      <c r="F24" s="7" t="n"/>
      <c r="G24" s="8" t="inlineStr">
        <is>
          <t>Somando galpão, Full, a caminho e devoluções, no ritmo de venda do ML dos últimos 30 dias.</t>
        </is>
      </c>
    </row>
    <row r="25">
      <c r="A25" s="4" t="inlineStr">
        <is>
          <t>Mais de 12 meses de estoque</t>
        </is>
      </c>
      <c r="B25" s="5">
        <f>COUNTIF('Galpão por SKU'!Q2:Q38,"&gt;12")</f>
        <v>5</v>
      </c>
      <c r="C25" s="6">
        <f>SUMIFS('Galpão por SKU'!G2:G38,'Galpão por SKU'!Q2:Q38,"&gt;12")</f>
        <v>16053</v>
      </c>
      <c r="D25" s="6" t="n"/>
      <c r="E25" s="6" t="n"/>
      <c r="F25" s="7" t="n"/>
      <c r="G25" s="8" t="inlineStr"/>
    </row>
    <row r="26">
      <c r="A26" s="4" t="inlineStr">
        <is>
          <t>Sem venda no ML nos últimos 30 dias</t>
        </is>
      </c>
      <c r="B26" s="5">
        <f>COUNTIF('Galpão por SKU'!P2:P38,0)</f>
        <v>6</v>
      </c>
      <c r="C26" s="6">
        <f>SUMIFS('Galpão por SKU'!G2:G38,'Galpão por SKU'!P2:P38,0)</f>
        <v>11175</v>
      </c>
      <c r="D26" s="6" t="n"/>
      <c r="E26" s="6" t="n"/>
      <c r="F26" s="7" t="n"/>
      <c r="G26" s="8" t="inlineStr">
        <is>
          <t>Não têm anúncio no Full. Podem estar vendendo por outros canais.</t>
        </is>
      </c>
    </row>
    <row r="28">
      <c r="A28" s="19" t="inlineStr">
        <is>
          <t>Como ler</t>
        </is>
      </c>
    </row>
    <row r="29" ht="30" customHeight="1">
      <c r="A29" s="20" t="inlineStr">
        <is>
          <t>• Custo parado = quantidade × custo. Receita projetada = quantidade × seu preço de venda líquido (o que você recebe por peça, já sem as tarifas do ML). Margem = receita − custo.</t>
        </is>
      </c>
    </row>
    <row r="30" ht="30" customHeight="1">
      <c r="A30" s="20" t="inlineStr">
        <is>
          <t>• Custo e preço vêm da sua planilha (células amarelas da aba Galpão por SKU). Se mudar um valor ali, tudo recalcula.</t>
        </is>
      </c>
    </row>
    <row r="31" ht="30" customHeight="1">
      <c r="A31" s="20" t="inlineStr">
        <is>
          <t>• No Full, a caminho e devoluções vêm do relatório do Mercado Livre de 25/09/2026, os mesmos números da planilha do Full.</t>
        </is>
      </c>
    </row>
    <row r="32" ht="30" customHeight="1">
      <c r="A32" s="20" t="inlineStr">
        <is>
          <t>• Meses de estoque = total da empresa ÷ unidades vendidas no ML nos últimos 30 dias. Não conta vendas feitas direto do galpão (Shopee, balcão): itens que também vendem por fora giram mais rápido do que aparece. Laranja acima de 6 meses, vermelho acima de 12.</t>
        </is>
      </c>
    </row>
  </sheetData>
  <mergeCells count="4">
    <mergeCell ref="A32:G32"/>
    <mergeCell ref="A31:G31"/>
    <mergeCell ref="A30:G30"/>
    <mergeCell ref="A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4" customWidth="1" min="9" max="9"/>
    <col width="9" customWidth="1" min="10" max="10"/>
    <col width="11" customWidth="1" min="11" max="11"/>
    <col width="8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</cols>
  <sheetData>
    <row r="1" ht="44" customHeight="1">
      <c r="A1" s="3" t="inlineStr">
        <is>
          <t>Item</t>
        </is>
      </c>
      <c r="B1" s="3" t="inlineStr">
        <is>
          <t>Código</t>
        </is>
      </c>
      <c r="C1" s="3" t="inlineStr">
        <is>
          <t>Categoria</t>
        </is>
      </c>
      <c r="D1" s="3" t="inlineStr">
        <is>
          <t>Quantidade no galpão</t>
        </is>
      </c>
      <c r="E1" s="3" t="inlineStr">
        <is>
          <t>Custo unit. (R$)</t>
        </is>
      </c>
      <c r="F1" s="3" t="inlineStr">
        <is>
          <t>Preço venda líquido (R$)</t>
        </is>
      </c>
      <c r="G1" s="3" t="inlineStr">
        <is>
          <t>Custo parado (R$)</t>
        </is>
      </c>
      <c r="H1" s="3" t="inlineStr">
        <is>
          <t>Receita projetada (R$)</t>
        </is>
      </c>
      <c r="I1" s="3" t="inlineStr">
        <is>
          <t>Margem projetada (R$)</t>
        </is>
      </c>
      <c r="J1" s="3" t="inlineStr">
        <is>
          <t>Margem (%)</t>
        </is>
      </c>
      <c r="K1" s="3" t="inlineStr">
        <is>
          <t>% do dinheiro parado no galpão</t>
        </is>
      </c>
      <c r="L1" s="3" t="inlineStr">
        <is>
          <t>No Full</t>
        </is>
      </c>
      <c r="M1" s="3" t="inlineStr">
        <is>
          <t>A caminho do Full</t>
        </is>
      </c>
      <c r="N1" s="3" t="inlineStr">
        <is>
          <t>Devoluções voltando</t>
        </is>
      </c>
      <c r="O1" s="3" t="inlineStr">
        <is>
          <t>Total da empresa</t>
        </is>
      </c>
      <c r="P1" s="3" t="inlineStr">
        <is>
          <t>Vendidas 30 dias no ML</t>
        </is>
      </c>
      <c r="Q1" s="3" t="inlineStr">
        <is>
          <t>Meses de estoque</t>
        </is>
      </c>
    </row>
    <row r="2">
      <c r="A2" s="4" t="inlineStr">
        <is>
          <t>Anel 8126 STD</t>
        </is>
      </c>
      <c r="B2" s="4" t="inlineStr">
        <is>
          <t>8126 STD</t>
        </is>
      </c>
      <c r="C2" s="4" t="inlineStr">
        <is>
          <t>Anéis</t>
        </is>
      </c>
      <c r="D2" s="5" t="n">
        <v>289</v>
      </c>
      <c r="E2" s="21" t="n">
        <v>75</v>
      </c>
      <c r="F2" s="21" t="n">
        <v>142.25</v>
      </c>
      <c r="G2" s="6">
        <f>D2*E2</f>
        <v>21675</v>
      </c>
      <c r="H2" s="6">
        <f>D2*F2</f>
        <v>41110.25</v>
      </c>
      <c r="I2" s="6">
        <f>IF(F2&gt;0,H2-G2,"")</f>
        <v>19435.25</v>
      </c>
      <c r="J2" s="7">
        <f>IF(H2&gt;0,I2/H2,"")</f>
        <v>0.4727592267135325</v>
      </c>
      <c r="K2" s="7">
        <f>IF(G$39&gt;0,G2/G$39,0)</f>
        <v>0.18010195390885636</v>
      </c>
      <c r="L2" s="5" t="n">
        <v>107</v>
      </c>
      <c r="M2" s="5" t="n">
        <v>0</v>
      </c>
      <c r="N2" s="5" t="n">
        <v>0</v>
      </c>
      <c r="O2" s="5">
        <f>D2+L2+M2+N2</f>
        <v>396</v>
      </c>
      <c r="P2" s="5" t="n">
        <v>45</v>
      </c>
      <c r="Q2" s="22">
        <f>IF(P2&gt;0,ROUND(O2/P2,1),"")</f>
        <v>8.8</v>
      </c>
    </row>
    <row r="3">
      <c r="A3" s="4" t="inlineStr">
        <is>
          <t>Anel SDA 6631 0,50</t>
        </is>
      </c>
      <c r="B3" s="4" t="inlineStr">
        <is>
          <t>6631 0,50</t>
        </is>
      </c>
      <c r="C3" s="4" t="inlineStr">
        <is>
          <t>Anéis</t>
        </is>
      </c>
      <c r="D3" s="5" t="n">
        <v>99</v>
      </c>
      <c r="E3" s="21" t="n">
        <v>75</v>
      </c>
      <c r="F3" s="21" t="n">
        <v>148.56</v>
      </c>
      <c r="G3" s="6">
        <f>D3*E3</f>
        <v>7425</v>
      </c>
      <c r="H3" s="6">
        <f>D3*F3</f>
        <v>14707.44</v>
      </c>
      <c r="I3" s="6">
        <f>IF(F3&gt;0,H3-G3,"")</f>
        <v>7282.44</v>
      </c>
      <c r="J3" s="7">
        <f>IF(H3&gt;0,I3/H3,"")</f>
        <v>0.49515347334410337</v>
      </c>
      <c r="K3" s="7">
        <f>IF(G$39&gt;0,G3/G$39,0)</f>
        <v>0.061695825041442144</v>
      </c>
      <c r="L3" s="5" t="n">
        <v>20</v>
      </c>
      <c r="M3" s="5" t="n">
        <v>0</v>
      </c>
      <c r="N3" s="5" t="n">
        <v>0</v>
      </c>
      <c r="O3" s="5">
        <f>D3+L3+M3+N3</f>
        <v>119</v>
      </c>
      <c r="P3" s="5" t="n">
        <v>33</v>
      </c>
      <c r="Q3" s="22">
        <f>IF(P3&gt;0,ROUND(O3/P3,1),"")</f>
        <v>3.6</v>
      </c>
    </row>
    <row r="4">
      <c r="A4" s="4" t="inlineStr">
        <is>
          <t>Retentor 5772</t>
        </is>
      </c>
      <c r="B4" s="4" t="inlineStr">
        <is>
          <t>5772</t>
        </is>
      </c>
      <c r="C4" s="4" t="inlineStr">
        <is>
          <t>Retentor</t>
        </is>
      </c>
      <c r="D4" s="5" t="n">
        <v>148</v>
      </c>
      <c r="E4" s="21" t="n">
        <v>50</v>
      </c>
      <c r="F4" s="21" t="n">
        <v>70.29000000000001</v>
      </c>
      <c r="G4" s="6">
        <f>D4*E4</f>
        <v>7400</v>
      </c>
      <c r="H4" s="6">
        <f>D4*F4</f>
        <v>10402.92</v>
      </c>
      <c r="I4" s="6">
        <f>IF(F4&gt;0,H4-G4,"")</f>
        <v>3002.92</v>
      </c>
      <c r="J4" s="7">
        <f>IF(H4&gt;0,I4/H4,"")</f>
        <v>0.2886612604922464</v>
      </c>
      <c r="K4" s="7">
        <f>IF(G$39&gt;0,G4/G$39,0)</f>
        <v>0.06148809499079756</v>
      </c>
      <c r="L4" s="5" t="n">
        <v>30</v>
      </c>
      <c r="M4" s="5" t="n">
        <v>0</v>
      </c>
      <c r="N4" s="5" t="n">
        <v>0</v>
      </c>
      <c r="O4" s="5">
        <f>D4+L4+M4+N4</f>
        <v>178</v>
      </c>
      <c r="P4" s="5" t="n">
        <v>69</v>
      </c>
      <c r="Q4" s="22">
        <f>IF(P4&gt;0,ROUND(O4/P4,1),"")</f>
        <v>2.6</v>
      </c>
    </row>
    <row r="5">
      <c r="A5" s="4" t="inlineStr">
        <is>
          <t>Retentor 5338</t>
        </is>
      </c>
      <c r="B5" s="4" t="inlineStr">
        <is>
          <t>5338</t>
        </is>
      </c>
      <c r="C5" s="4" t="inlineStr">
        <is>
          <t>Retentor</t>
        </is>
      </c>
      <c r="D5" s="5" t="n">
        <v>122</v>
      </c>
      <c r="E5" s="21" t="n">
        <v>60</v>
      </c>
      <c r="F5" s="21" t="n">
        <v>88.68000000000001</v>
      </c>
      <c r="G5" s="6">
        <f>D5*E5</f>
        <v>7320</v>
      </c>
      <c r="H5" s="6">
        <f>D5*F5</f>
        <v>10818.96</v>
      </c>
      <c r="I5" s="6">
        <f>IF(F5&gt;0,H5-G5,"")</f>
        <v>3498.96</v>
      </c>
      <c r="J5" s="7">
        <f>IF(H5&gt;0,I5/H5,"")</f>
        <v>0.32341001353179977</v>
      </c>
      <c r="K5" s="7">
        <f>IF(G$39&gt;0,G5/G$39,0)</f>
        <v>0.06082335882873488</v>
      </c>
      <c r="L5" s="5" t="n">
        <v>87</v>
      </c>
      <c r="M5" s="5" t="n">
        <v>60</v>
      </c>
      <c r="N5" s="5" t="n">
        <v>3</v>
      </c>
      <c r="O5" s="5">
        <f>D5+L5+M5+N5</f>
        <v>272</v>
      </c>
      <c r="P5" s="5" t="n">
        <v>129</v>
      </c>
      <c r="Q5" s="22">
        <f>IF(P5&gt;0,ROUND(O5/P5,1),"")</f>
        <v>2.1</v>
      </c>
    </row>
    <row r="6">
      <c r="A6" s="4" t="inlineStr">
        <is>
          <t>Retentor 5159</t>
        </is>
      </c>
      <c r="B6" s="4" t="inlineStr">
        <is>
          <t>5159</t>
        </is>
      </c>
      <c r="C6" s="4" t="inlineStr">
        <is>
          <t>Retentor</t>
        </is>
      </c>
      <c r="D6" s="5" t="n">
        <v>892</v>
      </c>
      <c r="E6" s="21" t="n">
        <v>8</v>
      </c>
      <c r="F6" s="21" t="n">
        <v>13.36</v>
      </c>
      <c r="G6" s="6">
        <f>D6*E6</f>
        <v>7136</v>
      </c>
      <c r="H6" s="6">
        <f>D6*F6</f>
        <v>11917.12</v>
      </c>
      <c r="I6" s="6">
        <f>IF(F6&gt;0,H6-G6,"")</f>
        <v>4781.12</v>
      </c>
      <c r="J6" s="7">
        <f>IF(H6&gt;0,I6/H6,"")</f>
        <v>0.4011976047904191</v>
      </c>
      <c r="K6" s="7">
        <f>IF(G$39&gt;0,G6/G$39,0)</f>
        <v>0.059294465655990725</v>
      </c>
      <c r="L6" s="5" t="n">
        <v>281</v>
      </c>
      <c r="M6" s="5" t="n">
        <v>0</v>
      </c>
      <c r="N6" s="5" t="n">
        <v>0</v>
      </c>
      <c r="O6" s="5">
        <f>D6+L6+M6+N6</f>
        <v>1173</v>
      </c>
      <c r="P6" s="5" t="n">
        <v>72</v>
      </c>
      <c r="Q6" s="22">
        <f>IF(P6&gt;0,ROUND(O6/P6,1),"")</f>
        <v>16.3</v>
      </c>
    </row>
    <row r="7">
      <c r="A7" s="4" t="inlineStr">
        <is>
          <t>Retentor 2525</t>
        </is>
      </c>
      <c r="B7" s="4" t="inlineStr">
        <is>
          <t>2525</t>
        </is>
      </c>
      <c r="C7" s="4" t="inlineStr">
        <is>
          <t>Retentor</t>
        </is>
      </c>
      <c r="D7" s="5" t="n">
        <v>599</v>
      </c>
      <c r="E7" s="21" t="n">
        <v>8</v>
      </c>
      <c r="F7" s="21" t="n">
        <v>13.23</v>
      </c>
      <c r="G7" s="6">
        <f>D7*E7</f>
        <v>4792</v>
      </c>
      <c r="H7" s="6">
        <f>D7*F7</f>
        <v>7924.77</v>
      </c>
      <c r="I7" s="6">
        <f>IF(F7&gt;0,H7-G7,"")</f>
        <v>3132.77</v>
      </c>
      <c r="J7" s="7">
        <f>IF(H7&gt;0,I7/H7,"")</f>
        <v>0.3953136810279667</v>
      </c>
      <c r="K7" s="7">
        <f>IF(G$39&gt;0,G7/G$39,0)</f>
        <v>0.03981769610755431</v>
      </c>
      <c r="L7" s="5" t="n">
        <v>30</v>
      </c>
      <c r="M7" s="5" t="n">
        <v>80</v>
      </c>
      <c r="N7" s="5" t="n">
        <v>1</v>
      </c>
      <c r="O7" s="5">
        <f>D7+L7+M7+N7</f>
        <v>710</v>
      </c>
      <c r="P7" s="5" t="n">
        <v>78</v>
      </c>
      <c r="Q7" s="22">
        <f>IF(P7&gt;0,ROUND(O7/P7,1),"")</f>
        <v>9.1</v>
      </c>
    </row>
    <row r="8">
      <c r="A8" s="4" t="inlineStr">
        <is>
          <t>Retentor 1942</t>
        </is>
      </c>
      <c r="B8" s="4" t="inlineStr">
        <is>
          <t>1942</t>
        </is>
      </c>
      <c r="C8" s="4" t="inlineStr">
        <is>
          <t>Retentor</t>
        </is>
      </c>
      <c r="D8" s="5" t="n">
        <v>558</v>
      </c>
      <c r="E8" s="21" t="n">
        <v>8</v>
      </c>
      <c r="F8" s="21" t="n">
        <v>12.32</v>
      </c>
      <c r="G8" s="6">
        <f>D8*E8</f>
        <v>4464</v>
      </c>
      <c r="H8" s="6">
        <f>D8*F8</f>
        <v>6874.56</v>
      </c>
      <c r="I8" s="6">
        <f>IF(F8&gt;0,H8-G8,"")</f>
        <v>2410.56</v>
      </c>
      <c r="J8" s="7">
        <f>IF(H8&gt;0,I8/H8,"")</f>
        <v>0.3506493506493506</v>
      </c>
      <c r="K8" s="7">
        <f>IF(G$39&gt;0,G8/G$39,0)</f>
        <v>0.037092277843097335</v>
      </c>
      <c r="L8" s="5" t="n">
        <v>168</v>
      </c>
      <c r="M8" s="5" t="n">
        <v>0</v>
      </c>
      <c r="N8" s="5" t="n">
        <v>2</v>
      </c>
      <c r="O8" s="5">
        <f>D8+L8+M8+N8</f>
        <v>728</v>
      </c>
      <c r="P8" s="5" t="n">
        <v>78</v>
      </c>
      <c r="Q8" s="22">
        <f>IF(P8&gt;0,ROUND(O8/P8,1),"")</f>
        <v>9.3</v>
      </c>
    </row>
    <row r="9">
      <c r="A9" s="4" t="inlineStr">
        <is>
          <t>Retentor 3044</t>
        </is>
      </c>
      <c r="B9" s="4" t="inlineStr">
        <is>
          <t>3044</t>
        </is>
      </c>
      <c r="C9" s="4" t="inlineStr">
        <is>
          <t>Retentor</t>
        </is>
      </c>
      <c r="D9" s="5" t="n">
        <v>483</v>
      </c>
      <c r="E9" s="21" t="n">
        <v>8.5</v>
      </c>
      <c r="F9" s="21" t="n">
        <v>13.38</v>
      </c>
      <c r="G9" s="6">
        <f>D9*E9</f>
        <v>4105.5</v>
      </c>
      <c r="H9" s="6">
        <f>D9*F9</f>
        <v>6462.54</v>
      </c>
      <c r="I9" s="6">
        <f>IF(F9&gt;0,H9-G9,"")</f>
        <v>2357.04</v>
      </c>
      <c r="J9" s="7">
        <f>IF(H9&gt;0,I9/H9,"")</f>
        <v>0.36472346786248133</v>
      </c>
      <c r="K9" s="7">
        <f>IF(G$39&gt;0,G9/G$39,0)</f>
        <v>0.03411342891685397</v>
      </c>
      <c r="L9" s="5" t="n">
        <v>88</v>
      </c>
      <c r="M9" s="5" t="n">
        <v>0</v>
      </c>
      <c r="N9" s="5" t="n">
        <v>2</v>
      </c>
      <c r="O9" s="5">
        <f>D9+L9+M9+N9</f>
        <v>573</v>
      </c>
      <c r="P9" s="5" t="n">
        <v>88</v>
      </c>
      <c r="Q9" s="22">
        <f>IF(P9&gt;0,ROUND(O9/P9,1),"")</f>
        <v>6.5</v>
      </c>
    </row>
    <row r="10">
      <c r="A10" s="4" t="inlineStr">
        <is>
          <t>Retentor 2283</t>
        </is>
      </c>
      <c r="B10" s="4" t="inlineStr">
        <is>
          <t>2283</t>
        </is>
      </c>
      <c r="C10" s="4" t="inlineStr">
        <is>
          <t>Retentor</t>
        </is>
      </c>
      <c r="D10" s="5" t="n">
        <v>268</v>
      </c>
      <c r="E10" s="21" t="n">
        <v>15</v>
      </c>
      <c r="F10" s="21" t="n">
        <v>28.18</v>
      </c>
      <c r="G10" s="6">
        <f>D10*E10</f>
        <v>4020</v>
      </c>
      <c r="H10" s="6">
        <f>D10*F10</f>
        <v>7552.24</v>
      </c>
      <c r="I10" s="6">
        <f>IF(F10&gt;0,H10-G10,"")</f>
        <v>3532.24</v>
      </c>
      <c r="J10" s="7">
        <f>IF(H10&gt;0,I10/H10,"")</f>
        <v>0.467707594038325</v>
      </c>
      <c r="K10" s="7">
        <f>IF(G$39&gt;0,G10/G$39,0)</f>
        <v>0.03340299214364949</v>
      </c>
      <c r="L10" s="5" t="n">
        <v>36</v>
      </c>
      <c r="M10" s="5" t="n">
        <v>0</v>
      </c>
      <c r="N10" s="5" t="n">
        <v>1</v>
      </c>
      <c r="O10" s="5">
        <f>D10+L10+M10+N10</f>
        <v>305</v>
      </c>
      <c r="P10" s="5" t="n">
        <v>23</v>
      </c>
      <c r="Q10" s="22">
        <f>IF(P10&gt;0,ROUND(O10/P10,1),"")</f>
        <v>13.3</v>
      </c>
    </row>
    <row r="11">
      <c r="A11" s="4" t="inlineStr">
        <is>
          <t>Jogo de Anel 7224 0,50</t>
        </is>
      </c>
      <c r="B11" s="4" t="inlineStr">
        <is>
          <t>7224 0,50</t>
        </is>
      </c>
      <c r="C11" s="4" t="inlineStr">
        <is>
          <t>Jogo de Anel</t>
        </is>
      </c>
      <c r="D11" s="5" t="n">
        <v>51</v>
      </c>
      <c r="E11" s="21" t="n">
        <v>75</v>
      </c>
      <c r="F11" s="21" t="n">
        <v>172.55</v>
      </c>
      <c r="G11" s="6">
        <f>D11*E11</f>
        <v>3825</v>
      </c>
      <c r="H11" s="6">
        <f>D11*F11</f>
        <v>8800.05</v>
      </c>
      <c r="I11" s="6">
        <f>IF(F11&gt;0,H11-G11,"")</f>
        <v>4975.05</v>
      </c>
      <c r="J11" s="7">
        <f>IF(H11&gt;0,I11/H11,"")</f>
        <v>0.5653433787308028</v>
      </c>
      <c r="K11" s="7">
        <f>IF(G$39&gt;0,G11/G$39,0)</f>
        <v>0.03178269774862171</v>
      </c>
      <c r="L11" s="5" t="n">
        <v>0</v>
      </c>
      <c r="M11" s="5" t="n">
        <v>0</v>
      </c>
      <c r="N11" s="5" t="n">
        <v>0</v>
      </c>
      <c r="O11" s="5">
        <f>D11+L11+M11+N11</f>
        <v>51</v>
      </c>
      <c r="P11" s="5" t="n">
        <v>0</v>
      </c>
      <c t="str" r="Q11" s="22">
        <f>IF(P11&gt;0,ROUND(O11/P11,1),"")</f>
        <v/>
      </c>
    </row>
    <row r="12">
      <c r="A12" s="4" t="inlineStr">
        <is>
          <t>2900</t>
        </is>
      </c>
      <c r="B12" s="4" t="inlineStr">
        <is>
          <t>2900</t>
        </is>
      </c>
      <c r="C12" s="4" t="inlineStr"/>
      <c r="D12" s="5" t="n">
        <v>50</v>
      </c>
      <c r="E12" s="21" t="n">
        <v>75</v>
      </c>
      <c r="F12" s="21" t="n"/>
      <c r="G12" s="6">
        <f>D12*E12</f>
        <v>3750</v>
      </c>
      <c r="H12" s="6">
        <f>D12*F12</f>
        <v>0</v>
      </c>
      <c t="str" r="I12" s="6">
        <f>IF(F12&gt;0,H12-G12,"")</f>
        <v/>
      </c>
      <c t="str" r="J12" s="7">
        <f>IF(H12&gt;0,I12/H12,"")</f>
        <v/>
      </c>
      <c r="K12" s="7">
        <f>IF(G$39&gt;0,G12/G$39,0)</f>
        <v>0.031159507596687952</v>
      </c>
      <c r="L12" s="5" t="n">
        <v>0</v>
      </c>
      <c r="M12" s="5" t="n">
        <v>0</v>
      </c>
      <c r="N12" s="5" t="n">
        <v>0</v>
      </c>
      <c r="O12" s="5">
        <f>D12+L12+M12+N12</f>
        <v>50</v>
      </c>
      <c r="P12" s="5" t="n">
        <v>0</v>
      </c>
      <c t="str" r="Q12" s="22">
        <f>IF(P12&gt;0,ROUND(O12/P12,1),"")</f>
        <v/>
      </c>
    </row>
    <row r="13">
      <c r="A13" s="4" t="inlineStr">
        <is>
          <t>Retentor 5601</t>
        </is>
      </c>
      <c r="B13" s="4" t="inlineStr">
        <is>
          <t>5601</t>
        </is>
      </c>
      <c r="C13" s="4" t="inlineStr">
        <is>
          <t>Retentor</t>
        </is>
      </c>
      <c r="D13" s="5" t="n">
        <v>148</v>
      </c>
      <c r="E13" s="21" t="n">
        <v>25</v>
      </c>
      <c r="F13" s="21" t="n">
        <v>38.88</v>
      </c>
      <c r="G13" s="6">
        <f>D13*E13</f>
        <v>3700</v>
      </c>
      <c r="H13" s="6">
        <f>D13*F13</f>
        <v>5754.24</v>
      </c>
      <c r="I13" s="6">
        <f>IF(F13&gt;0,H13-G13,"")</f>
        <v>2054.24</v>
      </c>
      <c r="J13" s="7">
        <f>IF(H13&gt;0,I13/H13,"")</f>
        <v>0.3569958847736625</v>
      </c>
      <c r="K13" s="7">
        <f>IF(G$39&gt;0,G13/G$39,0)</f>
        <v>0.03074404749539878</v>
      </c>
      <c r="L13" s="5" t="n">
        <v>27</v>
      </c>
      <c r="M13" s="5" t="n">
        <v>60</v>
      </c>
      <c r="N13" s="5" t="n">
        <v>0</v>
      </c>
      <c r="O13" s="5">
        <f>D13+L13+M13+N13</f>
        <v>235</v>
      </c>
      <c r="P13" s="5" t="n">
        <v>57</v>
      </c>
      <c r="Q13" s="22">
        <f>IF(P13&gt;0,ROUND(O13/P13,1),"")</f>
        <v>4.1</v>
      </c>
    </row>
    <row r="14">
      <c r="A14" s="4" t="inlineStr">
        <is>
          <t>Retentor 5502</t>
        </is>
      </c>
      <c r="B14" s="4" t="inlineStr">
        <is>
          <t>5502</t>
        </is>
      </c>
      <c r="C14" s="4" t="inlineStr">
        <is>
          <t>Retentor</t>
        </is>
      </c>
      <c r="D14" s="5" t="n">
        <v>44</v>
      </c>
      <c r="E14" s="21" t="n">
        <v>70</v>
      </c>
      <c r="F14" s="21" t="n">
        <v>119.3</v>
      </c>
      <c r="G14" s="6">
        <f>D14*E14</f>
        <v>3080</v>
      </c>
      <c r="H14" s="6">
        <f>D14*F14</f>
        <v>5249.2</v>
      </c>
      <c r="I14" s="6">
        <f>IF(F14&gt;0,H14-G14,"")</f>
        <v>2169.2</v>
      </c>
      <c r="J14" s="7">
        <f>IF(H14&gt;0,I14/H14,"")</f>
        <v>0.413243922883487</v>
      </c>
      <c r="K14" s="7">
        <f>IF(G$39&gt;0,G14/G$39,0)</f>
        <v>0.02559234223941304</v>
      </c>
      <c r="L14" s="5" t="n">
        <v>13</v>
      </c>
      <c r="M14" s="5" t="n">
        <v>0</v>
      </c>
      <c r="N14" s="5" t="n">
        <v>0</v>
      </c>
      <c r="O14" s="5">
        <f>D14+L14+M14+N14</f>
        <v>57</v>
      </c>
      <c r="P14" s="5" t="n">
        <v>9</v>
      </c>
      <c r="Q14" s="22">
        <f>IF(P14&gt;0,ROUND(O14/P14,1),"")</f>
        <v>6.3</v>
      </c>
    </row>
    <row r="15">
      <c r="A15" s="4" t="inlineStr">
        <is>
          <t>Retentor 2370</t>
        </is>
      </c>
      <c r="B15" s="4" t="inlineStr">
        <is>
          <t>2370</t>
        </is>
      </c>
      <c r="C15" s="4" t="inlineStr">
        <is>
          <t>Retentor</t>
        </is>
      </c>
      <c r="D15" s="5" t="n">
        <v>434</v>
      </c>
      <c r="E15" s="21" t="n">
        <v>7</v>
      </c>
      <c r="F15" s="21" t="n">
        <v>10.3</v>
      </c>
      <c r="G15" s="6">
        <f>D15*E15</f>
        <v>3038</v>
      </c>
      <c r="H15" s="6">
        <f>D15*F15</f>
        <v>4470.2</v>
      </c>
      <c r="I15" s="6">
        <f>IF(F15&gt;0,H15-G15,"")</f>
        <v>1432.2</v>
      </c>
      <c r="J15" s="7">
        <f>IF(H15&gt;0,I15/H15,"")</f>
        <v>0.32038834951456313</v>
      </c>
      <c r="K15" s="7">
        <f>IF(G$39&gt;0,G15/G$39,0)</f>
        <v>0.02524335575433013</v>
      </c>
      <c r="L15" s="5" t="n">
        <v>27</v>
      </c>
      <c r="M15" s="5" t="n">
        <v>100</v>
      </c>
      <c r="N15" s="5" t="n">
        <v>0</v>
      </c>
      <c r="O15" s="5">
        <f>D15+L15+M15+N15</f>
        <v>561</v>
      </c>
      <c r="P15" s="5" t="n">
        <v>85</v>
      </c>
      <c r="Q15" s="22">
        <f>IF(P15&gt;0,ROUND(O15/P15,1),"")</f>
        <v>6.6</v>
      </c>
    </row>
    <row r="16">
      <c r="A16" s="4" t="inlineStr">
        <is>
          <t>Vedadores 9203</t>
        </is>
      </c>
      <c r="B16" s="4" t="inlineStr">
        <is>
          <t>9203</t>
        </is>
      </c>
      <c r="C16" s="4" t="inlineStr">
        <is>
          <t>Vedador</t>
        </is>
      </c>
      <c r="D16" s="5" t="n">
        <v>318</v>
      </c>
      <c r="E16" s="21" t="n">
        <v>9</v>
      </c>
      <c r="F16" s="21" t="n">
        <v>13.36</v>
      </c>
      <c r="G16" s="6">
        <f>D16*E16</f>
        <v>2862</v>
      </c>
      <c r="H16" s="6">
        <f>D16*F16</f>
        <v>4248.48</v>
      </c>
      <c r="I16" s="6">
        <f>IF(F16&gt;0,H16-G16,"")</f>
        <v>1386.48</v>
      </c>
      <c r="J16" s="7">
        <f>IF(H16&gt;0,I16/H16,"")</f>
        <v>0.3263473053892216</v>
      </c>
      <c r="K16" s="7">
        <f>IF(G$39&gt;0,G16/G$39,0)</f>
        <v>0.023780936197792243</v>
      </c>
      <c r="L16" s="5" t="n">
        <v>201</v>
      </c>
      <c r="M16" s="5" t="n">
        <v>0</v>
      </c>
      <c r="N16" s="5" t="n">
        <v>1</v>
      </c>
      <c r="O16" s="5">
        <f>D16+L16+M16+N16</f>
        <v>520</v>
      </c>
      <c r="P16" s="5" t="n">
        <v>292</v>
      </c>
      <c r="Q16" s="22">
        <f>IF(P16&gt;0,ROUND(O16/P16,1),"")</f>
        <v>1.8</v>
      </c>
    </row>
    <row r="17">
      <c r="A17" s="4" t="inlineStr">
        <is>
          <t>Retentor 5245</t>
        </is>
      </c>
      <c r="B17" s="4" t="inlineStr">
        <is>
          <t>5245</t>
        </is>
      </c>
      <c r="C17" s="4" t="inlineStr">
        <is>
          <t>Retentor</t>
        </is>
      </c>
      <c r="D17" s="5" t="n">
        <v>50</v>
      </c>
      <c r="E17" s="21" t="n">
        <v>55</v>
      </c>
      <c r="F17" s="21" t="n">
        <v>68.34999999999999</v>
      </c>
      <c r="G17" s="6">
        <f>D17*E17</f>
        <v>2750</v>
      </c>
      <c r="H17" s="6">
        <f>D17*F17</f>
        <v>3417.5</v>
      </c>
      <c r="I17" s="6">
        <f>IF(F17&gt;0,H17-G17,"")</f>
        <v>667.5</v>
      </c>
      <c r="J17" s="7">
        <f>IF(H17&gt;0,I17/H17,"")</f>
        <v>0.19531821506949523</v>
      </c>
      <c r="K17" s="7">
        <f>IF(G$39&gt;0,G17/G$39,0)</f>
        <v>0.0228503055709045</v>
      </c>
      <c r="L17" s="5" t="n">
        <v>84</v>
      </c>
      <c r="M17" s="5" t="n">
        <v>63</v>
      </c>
      <c r="N17" s="5" t="n">
        <v>9</v>
      </c>
      <c r="O17" s="5">
        <f>D17+L17+M17+N17</f>
        <v>206</v>
      </c>
      <c r="P17" s="5" t="n">
        <v>347</v>
      </c>
      <c r="Q17" s="22">
        <f>IF(P17&gt;0,ROUND(O17/P17,1),"")</f>
        <v>0.6</v>
      </c>
    </row>
    <row r="18">
      <c r="A18" s="4" t="inlineStr">
        <is>
          <t>Jogo de Anel 7224 STD</t>
        </is>
      </c>
      <c r="B18" s="4" t="inlineStr">
        <is>
          <t>7224 STD</t>
        </is>
      </c>
      <c r="C18" s="4" t="inlineStr">
        <is>
          <t>Jogo de Anel</t>
        </is>
      </c>
      <c r="D18" s="5" t="n">
        <v>35</v>
      </c>
      <c r="E18" s="21" t="n">
        <v>75</v>
      </c>
      <c r="F18" s="21" t="n">
        <v>126.81</v>
      </c>
      <c r="G18" s="6">
        <f>D18*E18</f>
        <v>2625</v>
      </c>
      <c r="H18" s="6">
        <f>D18*F18</f>
        <v>4438.35</v>
      </c>
      <c r="I18" s="6">
        <f>IF(F18&gt;0,H18-G18,"")</f>
        <v>1813.35</v>
      </c>
      <c r="J18" s="7">
        <f>IF(H18&gt;0,I18/H18,"")</f>
        <v>0.40856399337591665</v>
      </c>
      <c r="K18" s="7">
        <f>IF(G$39&gt;0,G18/G$39,0)</f>
        <v>0.021811655317681568</v>
      </c>
      <c r="L18" s="5" t="n">
        <v>2</v>
      </c>
      <c r="M18" s="5" t="n">
        <v>20</v>
      </c>
      <c r="N18" s="5" t="n">
        <v>0</v>
      </c>
      <c r="O18" s="5">
        <f>D18+L18+M18+N18</f>
        <v>57</v>
      </c>
      <c r="P18" s="5" t="n">
        <v>44</v>
      </c>
      <c r="Q18" s="22">
        <f>IF(P18&gt;0,ROUND(O18/P18,1),"")</f>
        <v>1.3</v>
      </c>
    </row>
    <row r="19">
      <c r="A19" s="4" t="inlineStr">
        <is>
          <t>Retentor 5699</t>
        </is>
      </c>
      <c r="B19" s="4" t="inlineStr">
        <is>
          <t>5699</t>
        </is>
      </c>
      <c r="C19" s="4" t="inlineStr">
        <is>
          <t>Retentor</t>
        </is>
      </c>
      <c r="D19" s="5" t="n">
        <v>27</v>
      </c>
      <c r="E19" s="21" t="n">
        <v>95</v>
      </c>
      <c r="F19" s="21" t="n">
        <v>231.86</v>
      </c>
      <c r="G19" s="6">
        <f>D19*E19</f>
        <v>2565</v>
      </c>
      <c r="H19" s="6">
        <f>D19*F19</f>
        <v>6260.22</v>
      </c>
      <c r="I19" s="6">
        <f>IF(F19&gt;0,H19-G19,"")</f>
        <v>3695.22</v>
      </c>
      <c r="J19" s="7">
        <f>IF(H19&gt;0,I19/H19,"")</f>
        <v>0.5902699905115155</v>
      </c>
      <c r="K19" s="7">
        <f>IF(G$39&gt;0,G19/G$39,0)</f>
        <v>0.02131310319613456</v>
      </c>
      <c r="L19" s="5" t="n">
        <v>23</v>
      </c>
      <c r="M19" s="5" t="n">
        <v>0</v>
      </c>
      <c r="N19" s="5" t="n">
        <v>0</v>
      </c>
      <c r="O19" s="5">
        <f>D19+L19+M19+N19</f>
        <v>50</v>
      </c>
      <c r="P19" s="5" t="n">
        <v>17</v>
      </c>
      <c r="Q19" s="22">
        <f>IF(P19&gt;0,ROUND(O19/P19,1),"")</f>
        <v>2.9</v>
      </c>
    </row>
    <row r="20">
      <c r="A20" s="4" t="inlineStr">
        <is>
          <t>Retentor 2544</t>
        </is>
      </c>
      <c r="B20" s="4" t="inlineStr">
        <is>
          <t>2544</t>
        </is>
      </c>
      <c r="C20" s="4" t="inlineStr">
        <is>
          <t>Retentor</t>
        </is>
      </c>
      <c r="D20" s="5" t="n">
        <v>211</v>
      </c>
      <c r="E20" s="21" t="n">
        <v>12</v>
      </c>
      <c r="F20" s="21" t="n">
        <v>18.31</v>
      </c>
      <c r="G20" s="6">
        <f>D20*E20</f>
        <v>2532</v>
      </c>
      <c r="H20" s="6">
        <f>D20*F20</f>
        <v>3863.41</v>
      </c>
      <c r="I20" s="6">
        <f>IF(F20&gt;0,H20-G20,"")</f>
        <v>1331.41</v>
      </c>
      <c r="J20" s="7">
        <f>IF(H20&gt;0,I20/H20,"")</f>
        <v>0.34462042599672316</v>
      </c>
      <c r="K20" s="7">
        <f>IF(G$39&gt;0,G20/G$39,0)</f>
        <v>0.021038899529283707</v>
      </c>
      <c r="L20" s="5" t="n">
        <v>8</v>
      </c>
      <c r="M20" s="5" t="n">
        <v>50</v>
      </c>
      <c r="N20" s="5" t="n">
        <v>1</v>
      </c>
      <c r="O20" s="5">
        <f>D20+L20+M20+N20</f>
        <v>270</v>
      </c>
      <c r="P20" s="5" t="n">
        <v>49</v>
      </c>
      <c r="Q20" s="22">
        <f>IF(P20&gt;0,ROUND(O20/P20,1),"")</f>
        <v>5.5</v>
      </c>
    </row>
    <row r="21">
      <c r="A21" s="4" t="inlineStr">
        <is>
          <t>Retentor 2371 (Shopee)</t>
        </is>
      </c>
      <c r="B21" s="4" t="inlineStr">
        <is>
          <t>2371</t>
        </is>
      </c>
      <c r="C21" s="4" t="inlineStr">
        <is>
          <t>Retentor</t>
        </is>
      </c>
      <c r="D21" s="5" t="n">
        <v>359</v>
      </c>
      <c r="E21" s="21" t="n">
        <v>7</v>
      </c>
      <c r="F21" s="21" t="n">
        <v>20</v>
      </c>
      <c r="G21" s="6">
        <f>D21*E21</f>
        <v>2513</v>
      </c>
      <c r="H21" s="6">
        <f>D21*F21</f>
        <v>7180</v>
      </c>
      <c r="I21" s="6">
        <f>IF(F21&gt;0,H21-G21,"")</f>
        <v>4667</v>
      </c>
      <c r="J21" s="7">
        <f>IF(H21&gt;0,I21/H21,"")</f>
        <v>0.65</v>
      </c>
      <c r="K21" s="7">
        <f>IF(G$39&gt;0,G21/G$39,0)</f>
        <v>0.02088102469079382</v>
      </c>
      <c r="L21" s="5" t="n">
        <v>13</v>
      </c>
      <c r="M21" s="5" t="n">
        <v>0</v>
      </c>
      <c r="N21" s="5" t="n">
        <v>0</v>
      </c>
      <c r="O21" s="5">
        <f>D21+L21+M21+N21</f>
        <v>372</v>
      </c>
      <c r="P21" s="5" t="n">
        <v>16</v>
      </c>
      <c r="Q21" s="22">
        <f>IF(P21&gt;0,ROUND(O21/P21,1),"")</f>
        <v>23.2</v>
      </c>
    </row>
    <row r="22">
      <c r="A22" s="4" t="inlineStr">
        <is>
          <t>Retentor 2178</t>
        </is>
      </c>
      <c r="B22" s="4" t="inlineStr">
        <is>
          <t>2178</t>
        </is>
      </c>
      <c r="C22" s="4" t="inlineStr">
        <is>
          <t>Retentor</t>
        </is>
      </c>
      <c r="D22" s="5" t="n">
        <v>311</v>
      </c>
      <c r="E22" s="21" t="n">
        <v>8</v>
      </c>
      <c r="F22" s="21" t="n">
        <v>11.18</v>
      </c>
      <c r="G22" s="6">
        <f>D22*E22</f>
        <v>2488</v>
      </c>
      <c r="H22" s="6">
        <f>D22*F22</f>
        <v>3476.98</v>
      </c>
      <c r="I22" s="6">
        <f>IF(F22&gt;0,H22-G22,"")</f>
        <v>988.98</v>
      </c>
      <c r="J22" s="7">
        <f>IF(H22&gt;0,I22/H22,"")</f>
        <v>0.28443649373881935</v>
      </c>
      <c r="K22" s="7">
        <f>IF(G$39&gt;0,G22/G$39,0)</f>
        <v>0.020673294640149234</v>
      </c>
      <c r="L22" s="5" t="n">
        <v>163</v>
      </c>
      <c r="M22" s="5" t="n">
        <v>0</v>
      </c>
      <c r="N22" s="5" t="n">
        <v>4</v>
      </c>
      <c r="O22" s="5">
        <f>D22+L22+M22+N22</f>
        <v>478</v>
      </c>
      <c r="P22" s="5" t="n">
        <v>448</v>
      </c>
      <c r="Q22" s="22">
        <f>IF(P22&gt;0,ROUND(O22/P22,1),"")</f>
        <v>1.1</v>
      </c>
    </row>
    <row r="23">
      <c r="A23" s="4" t="inlineStr">
        <is>
          <t>Retentor 5801</t>
        </is>
      </c>
      <c r="B23" s="4" t="inlineStr">
        <is>
          <t>5801</t>
        </is>
      </c>
      <c r="C23" s="4" t="inlineStr">
        <is>
          <t>Retentor</t>
        </is>
      </c>
      <c r="D23" s="5" t="n">
        <v>29</v>
      </c>
      <c r="E23" s="21" t="n">
        <v>85</v>
      </c>
      <c r="F23" s="21" t="n">
        <v>145.76</v>
      </c>
      <c r="G23" s="6">
        <f>D23*E23</f>
        <v>2465</v>
      </c>
      <c r="H23" s="6">
        <f>D23*F23</f>
        <v>4227.04</v>
      </c>
      <c r="I23" s="6">
        <f>IF(F23&gt;0,H23-G23,"")</f>
        <v>1762.04</v>
      </c>
      <c r="J23" s="7">
        <f>IF(H23&gt;0,I23/H23,"")</f>
        <v>0.4168496158068057</v>
      </c>
      <c r="K23" s="7">
        <f>IF(G$39&gt;0,G23/G$39,0)</f>
        <v>0.020482182993556215</v>
      </c>
      <c r="L23" s="5" t="n">
        <v>5</v>
      </c>
      <c r="M23" s="5" t="n">
        <v>125</v>
      </c>
      <c r="N23" s="5" t="n">
        <v>8</v>
      </c>
      <c r="O23" s="5">
        <f>D23+L23+M23+N23</f>
        <v>167</v>
      </c>
      <c r="P23" s="5" t="n">
        <v>234</v>
      </c>
      <c r="Q23" s="22">
        <f>IF(P23&gt;0,ROUND(O23/P23,1),"")</f>
        <v>0.7</v>
      </c>
    </row>
    <row r="24">
      <c r="A24" s="4" t="inlineStr">
        <is>
          <t>Retentor 2374</t>
        </is>
      </c>
      <c r="B24" s="4" t="inlineStr">
        <is>
          <t>2374</t>
        </is>
      </c>
      <c r="C24" s="4" t="inlineStr">
        <is>
          <t>Retentor</t>
        </is>
      </c>
      <c r="D24" s="5" t="n">
        <v>297</v>
      </c>
      <c r="E24" s="21" t="n">
        <v>8</v>
      </c>
      <c r="F24" s="21" t="n">
        <v>16.89</v>
      </c>
      <c r="G24" s="6">
        <f>D24*E24</f>
        <v>2376</v>
      </c>
      <c r="H24" s="6">
        <f>D24*F24</f>
        <v>5016.33</v>
      </c>
      <c r="I24" s="6">
        <f>IF(F24&gt;0,H24-G24,"")</f>
        <v>2640.33</v>
      </c>
      <c r="J24" s="7">
        <f>IF(H24&gt;0,I24/H24,"")</f>
        <v>0.5263469508584961</v>
      </c>
      <c r="K24" s="7">
        <f>IF(G$39&gt;0,G24/G$39,0)</f>
        <v>0.019742664013261486</v>
      </c>
      <c r="L24" s="5" t="n">
        <v>61</v>
      </c>
      <c r="M24" s="5" t="n">
        <v>0</v>
      </c>
      <c r="N24" s="5" t="n">
        <v>0</v>
      </c>
      <c r="O24" s="5">
        <f>D24+L24+M24+N24</f>
        <v>358</v>
      </c>
      <c r="P24" s="5" t="n">
        <v>107</v>
      </c>
      <c r="Q24" s="22">
        <f>IF(P24&gt;0,ROUND(O24/P24,1),"")</f>
        <v>3.3</v>
      </c>
    </row>
    <row r="25">
      <c r="A25" s="4" t="inlineStr">
        <is>
          <t>Anel SDA 7092</t>
        </is>
      </c>
      <c r="B25" s="4" t="inlineStr">
        <is>
          <t>7092</t>
        </is>
      </c>
      <c r="C25" s="4" t="inlineStr">
        <is>
          <t>Anéis</t>
        </is>
      </c>
      <c r="D25" s="5" t="n">
        <v>22</v>
      </c>
      <c r="E25" s="21" t="n">
        <v>75</v>
      </c>
      <c r="F25" s="21" t="n">
        <v>127.94</v>
      </c>
      <c r="G25" s="6">
        <f>D25*E25</f>
        <v>1650</v>
      </c>
      <c r="H25" s="6">
        <f>D25*F25</f>
        <v>2814.68</v>
      </c>
      <c r="I25" s="6">
        <f>IF(F25&gt;0,H25-G25,"")</f>
        <v>1164.68</v>
      </c>
      <c r="J25" s="7">
        <f>IF(H25&gt;0,I25/H25,"")</f>
        <v>0.41378771299046435</v>
      </c>
      <c r="K25" s="7">
        <f>IF(G$39&gt;0,G25/G$39,0)</f>
        <v>0.013710183342542698</v>
      </c>
      <c r="L25" s="5" t="n">
        <v>37</v>
      </c>
      <c r="M25" s="5" t="n">
        <v>0</v>
      </c>
      <c r="N25" s="5" t="n">
        <v>0</v>
      </c>
      <c r="O25" s="5">
        <f>D25+L25+M25+N25</f>
        <v>59</v>
      </c>
      <c r="P25" s="5" t="n">
        <v>30</v>
      </c>
      <c r="Q25" s="22">
        <f>IF(P25&gt;0,ROUND(O25/P25,1),"")</f>
        <v>2.0</v>
      </c>
    </row>
    <row r="26">
      <c r="A26" s="4" t="inlineStr">
        <is>
          <t>8566 STD</t>
        </is>
      </c>
      <c r="B26" s="4" t="inlineStr">
        <is>
          <t>8566 STD</t>
        </is>
      </c>
      <c r="C26" s="4" t="inlineStr"/>
      <c r="D26" s="5" t="n">
        <v>20</v>
      </c>
      <c r="E26" s="21" t="n">
        <v>75</v>
      </c>
      <c r="F26" s="21" t="n"/>
      <c r="G26" s="6">
        <f>D26*E26</f>
        <v>1500</v>
      </c>
      <c r="H26" s="6">
        <f>D26*F26</f>
        <v>0</v>
      </c>
      <c t="str" r="I26" s="6">
        <f>IF(F26&gt;0,H26-G26,"")</f>
        <v/>
      </c>
      <c t="str" r="J26" s="7">
        <f>IF(H26&gt;0,I26/H26,"")</f>
        <v/>
      </c>
      <c r="K26" s="7">
        <f>IF(G$39&gt;0,G26/G$39,0)</f>
        <v>0.01246380303867518</v>
      </c>
      <c r="L26" s="5" t="n">
        <v>0</v>
      </c>
      <c r="M26" s="5" t="n">
        <v>0</v>
      </c>
      <c r="N26" s="5" t="n">
        <v>0</v>
      </c>
      <c r="O26" s="5">
        <f>D26+L26+M26+N26</f>
        <v>20</v>
      </c>
      <c r="P26" s="5" t="n">
        <v>0</v>
      </c>
      <c t="str" r="Q26" s="22">
        <f>IF(P26&gt;0,ROUND(O26/P26,1),"")</f>
        <v/>
      </c>
    </row>
    <row r="27">
      <c r="A27" s="4" t="inlineStr">
        <is>
          <t>Anéis 9403 STD</t>
        </is>
      </c>
      <c r="B27" s="4" t="inlineStr">
        <is>
          <t>9403 STD</t>
        </is>
      </c>
      <c r="C27" s="4" t="inlineStr">
        <is>
          <t>Anéis</t>
        </is>
      </c>
      <c r="D27" s="5" t="n">
        <v>20</v>
      </c>
      <c r="E27" s="21" t="n">
        <v>75</v>
      </c>
      <c r="F27" s="21" t="n"/>
      <c r="G27" s="6">
        <f>D27*E27</f>
        <v>1500</v>
      </c>
      <c r="H27" s="6">
        <f>D27*F27</f>
        <v>0</v>
      </c>
      <c t="str" r="I27" s="6">
        <f>IF(F27&gt;0,H27-G27,"")</f>
        <v/>
      </c>
      <c t="str" r="J27" s="7">
        <f>IF(H27&gt;0,I27/H27,"")</f>
        <v/>
      </c>
      <c r="K27" s="7">
        <f>IF(G$39&gt;0,G27/G$39,0)</f>
        <v>0.01246380303867518</v>
      </c>
      <c r="L27" s="5" t="n">
        <v>0</v>
      </c>
      <c r="M27" s="5" t="n">
        <v>0</v>
      </c>
      <c r="N27" s="5" t="n">
        <v>0</v>
      </c>
      <c r="O27" s="5">
        <f>D27+L27+M27+N27</f>
        <v>20</v>
      </c>
      <c r="P27" s="5" t="n">
        <v>0</v>
      </c>
      <c t="str" r="Q27" s="22">
        <f>IF(P27&gt;0,ROUND(O27/P27,1),"")</f>
        <v/>
      </c>
    </row>
    <row r="28">
      <c r="A28" s="4" t="inlineStr">
        <is>
          <t>Retentor 2400</t>
        </is>
      </c>
      <c r="B28" s="4" t="inlineStr">
        <is>
          <t>2400</t>
        </is>
      </c>
      <c r="C28" s="4" t="inlineStr">
        <is>
          <t>Retentor</t>
        </is>
      </c>
      <c r="D28" s="5" t="n">
        <v>101</v>
      </c>
      <c r="E28" s="21" t="n">
        <v>14</v>
      </c>
      <c r="F28" s="21" t="n">
        <v>29.43</v>
      </c>
      <c r="G28" s="6">
        <f>D28*E28</f>
        <v>1414</v>
      </c>
      <c r="H28" s="6">
        <f>D28*F28</f>
        <v>2972.43</v>
      </c>
      <c r="I28" s="6">
        <f>IF(F28&gt;0,H28-G28,"")</f>
        <v>1558.43</v>
      </c>
      <c r="J28" s="7">
        <f>IF(H28&gt;0,I28/H28,"")</f>
        <v>0.5242949371389739</v>
      </c>
      <c r="K28" s="7">
        <f>IF(G$39&gt;0,G28/G$39,0)</f>
        <v>0.011749211664457804</v>
      </c>
      <c r="L28" s="5" t="n">
        <v>14</v>
      </c>
      <c r="M28" s="5" t="n">
        <v>30</v>
      </c>
      <c r="N28" s="5" t="n">
        <v>0</v>
      </c>
      <c r="O28" s="5">
        <f>D28+L28+M28+N28</f>
        <v>145</v>
      </c>
      <c r="P28" s="5" t="n">
        <v>32</v>
      </c>
      <c r="Q28" s="22">
        <f>IF(P28&gt;0,ROUND(O28/P28,1),"")</f>
        <v>4.5</v>
      </c>
    </row>
    <row r="29">
      <c r="A29" s="4" t="inlineStr">
        <is>
          <t>Retentor 1135</t>
        </is>
      </c>
      <c r="B29" s="4" t="inlineStr">
        <is>
          <t>1135</t>
        </is>
      </c>
      <c r="C29" s="4" t="inlineStr">
        <is>
          <t>Retentor</t>
        </is>
      </c>
      <c r="D29" s="5" t="n">
        <v>116</v>
      </c>
      <c r="E29" s="21" t="n">
        <v>12</v>
      </c>
      <c r="F29" s="21" t="n">
        <v>31.13</v>
      </c>
      <c r="G29" s="6">
        <f>D29*E29</f>
        <v>1392</v>
      </c>
      <c r="H29" s="6">
        <f>D29*F29</f>
        <v>3611.08</v>
      </c>
      <c r="I29" s="6">
        <f>IF(F29&gt;0,H29-G29,"")</f>
        <v>2219.08</v>
      </c>
      <c r="J29" s="7">
        <f>IF(H29&gt;0,I29/H29,"")</f>
        <v>0.6145197558625121</v>
      </c>
      <c r="K29" s="7">
        <f>IF(G$39&gt;0,G29/G$39,0)</f>
        <v>0.011566409219890567</v>
      </c>
      <c r="L29" s="5" t="n">
        <v>11</v>
      </c>
      <c r="M29" s="5" t="n">
        <v>0</v>
      </c>
      <c r="N29" s="5" t="n">
        <v>0</v>
      </c>
      <c r="O29" s="5">
        <f>D29+L29+M29+N29</f>
        <v>127</v>
      </c>
      <c r="P29" s="5" t="n">
        <v>5</v>
      </c>
      <c r="Q29" s="22">
        <f>IF(P29&gt;0,ROUND(O29/P29,1),"")</f>
        <v>25.4</v>
      </c>
    </row>
    <row r="30">
      <c r="A30" s="4" t="inlineStr">
        <is>
          <t>Retentor 2075</t>
        </is>
      </c>
      <c r="B30" s="4" t="inlineStr">
        <is>
          <t>2075</t>
        </is>
      </c>
      <c r="C30" s="4" t="inlineStr">
        <is>
          <t>Retentor</t>
        </is>
      </c>
      <c r="D30" s="5" t="n">
        <v>124</v>
      </c>
      <c r="E30" s="21" t="n">
        <v>8</v>
      </c>
      <c r="F30" s="21" t="n">
        <v>13.42</v>
      </c>
      <c r="G30" s="6">
        <f>D30*E30</f>
        <v>992</v>
      </c>
      <c r="H30" s="6">
        <f>D30*F30</f>
        <v>1664.08</v>
      </c>
      <c r="I30" s="6">
        <f>IF(F30&gt;0,H30-G30,"")</f>
        <v>672.08</v>
      </c>
      <c r="J30" s="7">
        <f>IF(H30&gt;0,I30/H30,"")</f>
        <v>0.40387481371087935</v>
      </c>
      <c r="K30" s="7">
        <f>IF(G$39&gt;0,G30/G$39,0)</f>
        <v>0.008242728409577186</v>
      </c>
      <c r="L30" s="5" t="n">
        <v>7</v>
      </c>
      <c r="M30" s="5" t="n">
        <v>0</v>
      </c>
      <c r="N30" s="5" t="n">
        <v>0</v>
      </c>
      <c r="O30" s="5">
        <f>D30+L30+M30+N30</f>
        <v>131</v>
      </c>
      <c r="P30" s="5" t="n">
        <v>2</v>
      </c>
      <c r="Q30" s="22">
        <f>IF(P30&gt;0,ROUND(O30/P30,1),"")</f>
        <v>65.5</v>
      </c>
    </row>
    <row r="31">
      <c r="A31" s="4" t="inlineStr">
        <is>
          <t>Bronzina de Biela SBB 1035-J 0,25</t>
        </is>
      </c>
      <c r="B31" s="4" t="inlineStr">
        <is>
          <t>1035-J</t>
        </is>
      </c>
      <c r="C31" s="4" t="inlineStr">
        <is>
          <t>Bronzina</t>
        </is>
      </c>
      <c r="D31" s="5" t="n">
        <v>22</v>
      </c>
      <c r="E31" s="21" t="n">
        <v>32</v>
      </c>
      <c r="F31" s="21" t="n">
        <v>69.25</v>
      </c>
      <c r="G31" s="6">
        <f>D31*E31</f>
        <v>704</v>
      </c>
      <c r="H31" s="6">
        <f>D31*F31</f>
        <v>1523.5</v>
      </c>
      <c r="I31" s="6">
        <f>IF(F31&gt;0,H31-G31,"")</f>
        <v>819.5</v>
      </c>
      <c r="J31" s="7">
        <f>IF(H31&gt;0,I31/H31,"")</f>
        <v>0.5379061371841155</v>
      </c>
      <c r="K31" s="7">
        <f>IF(G$39&gt;0,G31/G$39,0)</f>
        <v>0.005849678226151551</v>
      </c>
      <c r="L31" s="5" t="n">
        <v>18</v>
      </c>
      <c r="M31" s="5" t="n">
        <v>0</v>
      </c>
      <c r="N31" s="5" t="n">
        <v>0</v>
      </c>
      <c r="O31" s="5">
        <f>D31+L31+M31+N31</f>
        <v>40</v>
      </c>
      <c r="P31" s="5" t="n">
        <v>61</v>
      </c>
      <c r="Q31" s="22">
        <f>IF(P31&gt;0,ROUND(O31/P31,1),"")</f>
        <v>0.7</v>
      </c>
    </row>
    <row r="32">
      <c r="A32" s="4" t="inlineStr">
        <is>
          <t>Retentor 2317</t>
        </is>
      </c>
      <c r="B32" s="4" t="inlineStr">
        <is>
          <t>2317</t>
        </is>
      </c>
      <c r="C32" s="4" t="inlineStr">
        <is>
          <t>Retentor</t>
        </is>
      </c>
      <c r="D32" s="5" t="n">
        <v>72</v>
      </c>
      <c r="E32" s="21" t="n">
        <v>8</v>
      </c>
      <c r="F32" s="21" t="n">
        <v>25.62</v>
      </c>
      <c r="G32" s="6">
        <f>D32*E32</f>
        <v>576</v>
      </c>
      <c r="H32" s="6">
        <f>D32*F32</f>
        <v>1844.64</v>
      </c>
      <c r="I32" s="6">
        <f>IF(F32&gt;0,H32-G32,"")</f>
        <v>1268.64</v>
      </c>
      <c r="J32" s="7">
        <f>IF(H32&gt;0,I32/H32,"")</f>
        <v>0.687743950039032</v>
      </c>
      <c r="K32" s="7">
        <f>IF(G$39&gt;0,G32/G$39,0)</f>
        <v>0.00478610036685127</v>
      </c>
      <c r="L32" s="5" t="n">
        <v>19</v>
      </c>
      <c r="M32" s="5" t="n">
        <v>20</v>
      </c>
      <c r="N32" s="5" t="n">
        <v>0</v>
      </c>
      <c r="O32" s="5">
        <f>D32+L32+M32+N32</f>
        <v>111</v>
      </c>
      <c r="P32" s="5" t="n">
        <v>28</v>
      </c>
      <c r="Q32" s="22">
        <f>IF(P32&gt;0,ROUND(O32/P32,1),"")</f>
        <v>4.0</v>
      </c>
    </row>
    <row r="33">
      <c r="A33" s="4" t="inlineStr">
        <is>
          <t>Retentor 2373</t>
        </is>
      </c>
      <c r="B33" s="4" t="inlineStr">
        <is>
          <t>2373</t>
        </is>
      </c>
      <c r="C33" s="4" t="inlineStr">
        <is>
          <t>Retentor</t>
        </is>
      </c>
      <c r="D33" s="5" t="n">
        <v>94</v>
      </c>
      <c r="E33" s="21" t="n">
        <v>6</v>
      </c>
      <c r="F33" s="21" t="n">
        <v>22.16</v>
      </c>
      <c r="G33" s="6">
        <f>D33*E33</f>
        <v>564</v>
      </c>
      <c r="H33" s="6">
        <f>D33*F33</f>
        <v>2083.04</v>
      </c>
      <c r="I33" s="6">
        <f>IF(F33&gt;0,H33-G33,"")</f>
        <v>1519.04</v>
      </c>
      <c r="J33" s="7">
        <f>IF(H33&gt;0,I33/H33,"")</f>
        <v>0.7292418772563177</v>
      </c>
      <c r="K33" s="7">
        <f>IF(G$39&gt;0,G33/G$39,0)</f>
        <v>0.004686389942541868</v>
      </c>
      <c r="L33" s="5" t="n">
        <v>21</v>
      </c>
      <c r="M33" s="5" t="n">
        <v>40</v>
      </c>
      <c r="N33" s="5" t="n">
        <v>0</v>
      </c>
      <c r="O33" s="5">
        <f>D33+L33+M33+N33</f>
        <v>155</v>
      </c>
      <c r="P33" s="5" t="n">
        <v>38</v>
      </c>
      <c r="Q33" s="22">
        <f>IF(P33&gt;0,ROUND(O33/P33,1),"")</f>
        <v>4.1</v>
      </c>
    </row>
    <row r="34">
      <c r="A34" s="4" t="inlineStr">
        <is>
          <t>Anéis 9200 STD</t>
        </is>
      </c>
      <c r="B34" s="4" t="inlineStr">
        <is>
          <t>9200 STD</t>
        </is>
      </c>
      <c r="C34" s="4" t="inlineStr">
        <is>
          <t>Anéis</t>
        </is>
      </c>
      <c r="D34" s="5" t="n">
        <v>7</v>
      </c>
      <c r="E34" s="21" t="n">
        <v>75</v>
      </c>
      <c r="F34" s="21" t="n">
        <v>156.03</v>
      </c>
      <c r="G34" s="6">
        <f>D34*E34</f>
        <v>525</v>
      </c>
      <c r="H34" s="6">
        <f>D34*F34</f>
        <v>1092.21</v>
      </c>
      <c r="I34" s="6">
        <f>IF(F34&gt;0,H34-G34,"")</f>
        <v>567.21</v>
      </c>
      <c r="J34" s="7">
        <f>IF(H34&gt;0,I34/H34,"")</f>
        <v>0.5193232070755625</v>
      </c>
      <c r="K34" s="7">
        <f>IF(G$39&gt;0,G34/G$39,0)</f>
        <v>0.004362331063536313</v>
      </c>
      <c r="L34" s="5" t="n">
        <v>0</v>
      </c>
      <c r="M34" s="5" t="n">
        <v>0</v>
      </c>
      <c r="N34" s="5" t="n">
        <v>0</v>
      </c>
      <c r="O34" s="5">
        <f>D34+L34+M34+N34</f>
        <v>7</v>
      </c>
      <c r="P34" s="5" t="n">
        <v>0</v>
      </c>
      <c t="str" r="Q34" s="22">
        <f>IF(P34&gt;0,ROUND(O34/P34,1),"")</f>
        <v/>
      </c>
    </row>
    <row r="35">
      <c r="A35" s="4" t="inlineStr">
        <is>
          <t>Retentor 2539</t>
        </is>
      </c>
      <c r="B35" s="4" t="inlineStr">
        <is>
          <t>2539</t>
        </is>
      </c>
      <c r="C35" s="4" t="inlineStr">
        <is>
          <t>Retentor</t>
        </is>
      </c>
      <c r="D35" s="5" t="n">
        <v>35</v>
      </c>
      <c r="E35" s="21" t="n">
        <v>8</v>
      </c>
      <c r="F35" s="21" t="n">
        <v>21.5</v>
      </c>
      <c r="G35" s="6">
        <f>D35*E35</f>
        <v>280</v>
      </c>
      <c r="H35" s="6">
        <f>D35*F35</f>
        <v>752.5</v>
      </c>
      <c r="I35" s="6">
        <f>IF(F35&gt;0,H35-G35,"")</f>
        <v>472.5</v>
      </c>
      <c r="J35" s="7">
        <f>IF(H35&gt;0,I35/H35,"")</f>
        <v>0.627906976744186</v>
      </c>
      <c r="K35" s="7">
        <f>IF(G$39&gt;0,G35/G$39,0)</f>
        <v>0.0023265765672193673</v>
      </c>
      <c r="L35" s="5" t="n">
        <v>33</v>
      </c>
      <c r="M35" s="5" t="n">
        <v>0</v>
      </c>
      <c r="N35" s="5" t="n">
        <v>2</v>
      </c>
      <c r="O35" s="5">
        <f>D35+L35+M35+N35</f>
        <v>70</v>
      </c>
      <c r="P35" s="5" t="n">
        <v>8</v>
      </c>
      <c r="Q35" s="22">
        <f>IF(P35&gt;0,ROUND(O35/P35,1),"")</f>
        <v>8.8</v>
      </c>
    </row>
    <row r="36">
      <c r="A36" s="4" t="inlineStr">
        <is>
          <t>Retentor 5702</t>
        </is>
      </c>
      <c r="B36" s="4" t="inlineStr">
        <is>
          <t>5702</t>
        </is>
      </c>
      <c r="C36" s="4" t="inlineStr">
        <is>
          <t>Retentor</t>
        </is>
      </c>
      <c r="D36" s="5" t="n">
        <v>3</v>
      </c>
      <c r="E36" s="21" t="n">
        <v>50</v>
      </c>
      <c r="F36" s="21" t="n">
        <v>57.36</v>
      </c>
      <c r="G36" s="6">
        <f>D36*E36</f>
        <v>150</v>
      </c>
      <c r="H36" s="6">
        <f>D36*F36</f>
        <v>172.08</v>
      </c>
      <c r="I36" s="6">
        <f>IF(F36&gt;0,H36-G36,"")</f>
        <v>22.08</v>
      </c>
      <c r="J36" s="7">
        <f>IF(H36&gt;0,I36/H36,"")</f>
        <v>0.12831241283124126</v>
      </c>
      <c r="K36" s="7">
        <f>IF(G$39&gt;0,G36/G$39,0)</f>
        <v>0.001246380303867518</v>
      </c>
      <c r="L36" s="5" t="n">
        <v>0</v>
      </c>
      <c r="M36" s="5" t="n">
        <v>0</v>
      </c>
      <c r="N36" s="5" t="n">
        <v>0</v>
      </c>
      <c r="O36" s="5">
        <f>D36+L36+M36+N36</f>
        <v>3</v>
      </c>
      <c r="P36" s="5" t="n">
        <v>3</v>
      </c>
      <c r="Q36" s="22">
        <f>IF(P36&gt;0,ROUND(O36/P36,1),"")</f>
        <v>1.0</v>
      </c>
    </row>
    <row r="37">
      <c r="A37" s="4" t="inlineStr">
        <is>
          <t>Retentor 5266</t>
        </is>
      </c>
      <c r="B37" s="4" t="inlineStr">
        <is>
          <t>5266</t>
        </is>
      </c>
      <c r="C37" s="4" t="inlineStr">
        <is>
          <t>Retentor</t>
        </is>
      </c>
      <c r="D37" s="5" t="n">
        <v>15</v>
      </c>
      <c r="E37" s="21" t="n">
        <v>8</v>
      </c>
      <c r="F37" s="21" t="n">
        <v>25.62</v>
      </c>
      <c r="G37" s="6">
        <f>D37*E37</f>
        <v>120</v>
      </c>
      <c r="H37" s="6">
        <f>D37*F37</f>
        <v>384.3</v>
      </c>
      <c r="I37" s="6">
        <f>IF(F37&gt;0,H37-G37,"")</f>
        <v>264.3</v>
      </c>
      <c r="J37" s="7">
        <f>IF(H37&gt;0,I37/H37,"")</f>
        <v>0.687743950039032</v>
      </c>
      <c r="K37" s="7">
        <f>IF(G$39&gt;0,G37/G$39,0)</f>
        <v>0.0009971042430940145</v>
      </c>
      <c r="L37" s="5" t="n">
        <v>26</v>
      </c>
      <c r="M37" s="5" t="n">
        <v>0</v>
      </c>
      <c r="N37" s="5" t="n">
        <v>0</v>
      </c>
      <c r="O37" s="5">
        <f>D37+L37+M37+N37</f>
        <v>41</v>
      </c>
      <c r="P37" s="5" t="n">
        <v>36</v>
      </c>
      <c r="Q37" s="22">
        <f>IF(P37&gt;0,ROUND(O37/P37,1),"")</f>
        <v>1.1</v>
      </c>
    </row>
    <row r="38">
      <c r="A38" s="4" t="inlineStr">
        <is>
          <t>Anéis 8126 0,50</t>
        </is>
      </c>
      <c r="B38" s="4" t="inlineStr">
        <is>
          <t>8126 0,50</t>
        </is>
      </c>
      <c r="C38" s="4" t="inlineStr">
        <is>
          <t>Anéis</t>
        </is>
      </c>
      <c r="D38" s="5" t="n">
        <v>1</v>
      </c>
      <c r="E38" s="21" t="n">
        <v>75</v>
      </c>
      <c r="F38" s="21" t="n">
        <v>144.9</v>
      </c>
      <c r="G38" s="6">
        <f>D38*E38</f>
        <v>75</v>
      </c>
      <c r="H38" s="6">
        <f>D38*F38</f>
        <v>144.9</v>
      </c>
      <c r="I38" s="6">
        <f>IF(F38&gt;0,H38-G38,"")</f>
        <v>69.9</v>
      </c>
      <c r="J38" s="7">
        <f>IF(H38&gt;0,I38/H38,"")</f>
        <v>0.48240165631469983</v>
      </c>
      <c r="K38" s="7">
        <f>IF(G$39&gt;0,G38/G$39,0)</f>
        <v>0.000623190151933759</v>
      </c>
      <c r="L38" s="5" t="n">
        <v>0</v>
      </c>
      <c r="M38" s="5" t="n">
        <v>0</v>
      </c>
      <c r="N38" s="5" t="n">
        <v>0</v>
      </c>
      <c r="O38" s="5">
        <f>D38+L38+M38+N38</f>
        <v>1</v>
      </c>
      <c r="P38" s="5" t="n">
        <v>0</v>
      </c>
      <c t="str" r="Q38" s="22">
        <f>IF(P38&gt;0,ROUND(O38/P38,1),"")</f>
        <v/>
      </c>
    </row>
    <row r="39">
      <c r="A39" s="23" t="inlineStr">
        <is>
          <t>TOTAL</t>
        </is>
      </c>
      <c r="B39" s="23" t="n"/>
      <c r="C39" s="23" t="n"/>
      <c r="D39" s="24">
        <f>SUM(D2:D38)</f>
        <v>6474</v>
      </c>
      <c r="E39" s="25" t="n"/>
      <c r="F39" s="25" t="n"/>
      <c r="G39" s="25">
        <f>SUM(G2:G38)</f>
        <v>120348.5</v>
      </c>
      <c r="H39" s="25">
        <f>SUM(H2:H38)</f>
        <v>203232.24</v>
      </c>
      <c r="I39" s="25">
        <f>SUM(I2:I38)</f>
        <v>89633.74</v>
      </c>
      <c r="J39" s="26">
        <f>IF(H39&gt;0,I39/H39,"")</f>
        <v>0.44104094901478236</v>
      </c>
      <c r="K39" s="26">
        <f>SUM(K2:K38)</f>
        <v>1.0000000000000002</v>
      </c>
      <c r="L39" s="24">
        <f>SUM(L2:L38)</f>
        <v>1660</v>
      </c>
      <c r="M39" s="24">
        <f>SUM(M2:M38)</f>
        <v>648</v>
      </c>
      <c r="N39" s="24">
        <f>SUM(N2:N38)</f>
        <v>34</v>
      </c>
      <c r="O39" s="24">
        <f>SUM(O2:O38)</f>
        <v>8816</v>
      </c>
      <c r="P39" s="24">
        <f>SUM(P2:P38)</f>
        <v>2563</v>
      </c>
      <c r="Q39" s="23" t="n"/>
    </row>
  </sheetData>
  <autoFilter ref="A1:Q38"/>
  <conditionalFormatting sqref="Q2:Q38">
    <cfRule type="cellIs" priority="1" operator="greaterThan" dxfId="0" stopIfTrue="1">
      <formula>12</formula>
    </cfRule>
    <cfRule type="cellIs" priority="2" operator="greaterThan" dxfId="1">
      <formula>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2026-09-25T19:40:45Z</dcterms:created>
  <dcterms:modified xsi:type="dcterms:W3CDTF">2026-09-25T19:40:45Z</dcterms:modified>
</cp:coreProperties>
</file>